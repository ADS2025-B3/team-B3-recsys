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loi/Downloads/"/>
    </mc:Choice>
  </mc:AlternateContent>
  <xr:revisionPtr revIDLastSave="0" documentId="8_{3459766A-C88B-0F4F-8803-B98CCFF03C3B}" xr6:coauthVersionLast="47" xr6:coauthVersionMax="47" xr10:uidLastSave="{00000000-0000-0000-0000-000000000000}"/>
  <bookViews>
    <workbookView xWindow="2360" yWindow="2080" windowWidth="68800" windowHeight="26580" tabRatio="522" xr2:uid="{66724843-076B-D544-8ACB-8D61506CC929}"/>
  </bookViews>
  <sheets>
    <sheet name="Release Plan" sheetId="7" r:id="rId1"/>
    <sheet name="Product Backlog" sheetId="8" r:id="rId2"/>
    <sheet name="PB Burndown" sheetId="20" r:id="rId3"/>
    <sheet name="Sp1" sheetId="19" r:id="rId4"/>
    <sheet name="Sprint Sheet Template" sheetId="16" r:id="rId5"/>
    <sheet name="Task Slips" sheetId="21" r:id="rId6"/>
    <sheet name="Sprint Retrospective" sheetId="22" r:id="rId7"/>
    <sheet name="Self-Evaluation" sheetId="23" r:id="rId8"/>
  </sheets>
  <definedNames>
    <definedName name="_xlnm.Print_Area" localSheetId="1">'Product Backlog'!$A:$G</definedName>
    <definedName name="_xlnm.Print_Area" localSheetId="5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Sp1!$D$11</definedName>
    <definedName name="DoneDays" localSheetId="4">'Sprint Sheet Template'!$D$11</definedName>
    <definedName name="DoneDays">#REF!</definedName>
    <definedName name="ImplementationDays" localSheetId="3">Sp1!$B$9</definedName>
    <definedName name="ImplementationDays" localSheetId="4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Backlog'!$A$4:$G$163</definedName>
    <definedName name="RealizedSpeed">OFFSET('PB Burndown'!$D$27,1,0,'PB Burndown'!$G$3,1)</definedName>
    <definedName name="RealValues" localSheetId="3">OFFSET(Sp1!$F$10,0,0,1,Sp1!DoneDays)</definedName>
    <definedName name="RealValues" localSheetId="4">OFFSET('Sprint Sheet Template'!$F$10,0,0,1,'Sprint Sheet Template'!DoneDays)</definedName>
    <definedName name="Sprint">'Product Backlog'!$E$5:$E$163</definedName>
    <definedName name="SprintCount">'PB Burndown'!$G$3</definedName>
    <definedName name="SprintsInTrend">'PB Burndown'!$G$6</definedName>
    <definedName name="SprintTasks" localSheetId="3">Sp1!$A$14:$AD$63</definedName>
    <definedName name="SprintTasks">'Sprint Sheet Template'!$A$14:$AD$63</definedName>
    <definedName name="Status">'Product Backlog'!$C$5:$C$163</definedName>
    <definedName name="StoryName">'Product Backlog'!$B$5:$B$163</definedName>
    <definedName name="TaskRows" localSheetId="3">Sp1!$B$11</definedName>
    <definedName name="TaskRows" localSheetId="4">'Sprint Sheet Template'!$B$11</definedName>
    <definedName name="TaskRows">#REF!</definedName>
    <definedName name="TaskStatus" localSheetId="3">Sp1!$D$14:$D$58</definedName>
    <definedName name="TaskStatus">'Sprint Sheet Template'!$D$14:$D$58</definedName>
    <definedName name="TaskStoryID" localSheetId="3">Sp1!$B$14:$B$53</definedName>
    <definedName name="TaskStoryID">'Sprint Sheet Template'!$B$14:$B$53</definedName>
    <definedName name="TotalEffort" localSheetId="3">Sp1!$E$10</definedName>
    <definedName name="TotalEffort" localSheetId="4">'Sprint Sheet Template'!$E$10</definedName>
    <definedName name="TotalEffort">#REF!</definedName>
    <definedName name="TrendDays" localSheetId="3">Sp1!$D$13</definedName>
    <definedName name="TrendDays">'Sprint Sheet Template'!$D$13</definedName>
    <definedName name="TrendOffset">'PB Burndown'!$G$5</definedName>
    <definedName name="TrendSprintCount">'PB Burndown'!$G$4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9" i="21" l="1"/>
  <c r="A21" i="21"/>
  <c r="A13" i="21"/>
  <c r="A5" i="21"/>
  <c r="G4" i="20"/>
  <c r="E16" i="7"/>
  <c r="E17" i="7"/>
  <c r="E4" i="7"/>
  <c r="E18" i="7"/>
  <c r="E19" i="7"/>
  <c r="E20" i="7"/>
  <c r="B17" i="7"/>
  <c r="D17" i="7"/>
  <c r="D16" i="7"/>
  <c r="B28" i="20"/>
  <c r="F28" i="20"/>
  <c r="G28" i="20"/>
  <c r="F18" i="19"/>
  <c r="D18" i="19"/>
  <c r="F17" i="19"/>
  <c r="F16" i="19"/>
  <c r="F15" i="19"/>
  <c r="E21" i="7"/>
  <c r="G5" i="20"/>
  <c r="G6" i="20"/>
  <c r="G14" i="19"/>
  <c r="H14" i="19"/>
  <c r="F18" i="7"/>
  <c r="F19" i="7"/>
  <c r="F20" i="7"/>
  <c r="F21" i="7"/>
  <c r="B4" i="7"/>
  <c r="G17" i="20"/>
  <c r="A18" i="20"/>
  <c r="A8" i="20"/>
  <c r="D15" i="20"/>
  <c r="D17" i="20"/>
  <c r="D16" i="20"/>
  <c r="E28" i="20"/>
  <c r="H28" i="20"/>
  <c r="E31" i="7"/>
  <c r="B11" i="19"/>
  <c r="E10" i="19"/>
  <c r="G11" i="19" s="1"/>
  <c r="F10" i="19"/>
  <c r="G10" i="19"/>
  <c r="I10" i="19"/>
  <c r="D41" i="19"/>
  <c r="F41" i="19"/>
  <c r="D42" i="19"/>
  <c r="F42" i="19"/>
  <c r="D43" i="19"/>
  <c r="F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G62" i="19"/>
  <c r="H62" i="19"/>
  <c r="D63" i="19"/>
  <c r="F63" i="19"/>
  <c r="G63" i="19"/>
  <c r="D64" i="19"/>
  <c r="B11" i="16"/>
  <c r="Z10" i="16"/>
  <c r="F15" i="16"/>
  <c r="F16" i="16"/>
  <c r="F17" i="16"/>
  <c r="F18" i="16"/>
  <c r="F10" i="16"/>
  <c r="E10" i="7"/>
  <c r="E9" i="7"/>
  <c r="E8" i="7"/>
  <c r="E7" i="7"/>
  <c r="E6" i="7"/>
  <c r="E5" i="7"/>
  <c r="C4" i="7"/>
  <c r="D4" i="7"/>
  <c r="B5" i="7"/>
  <c r="D5" i="7"/>
  <c r="C5" i="7"/>
  <c r="C6" i="7"/>
  <c r="D6" i="7"/>
  <c r="C7" i="7"/>
  <c r="D7" i="7"/>
  <c r="C8" i="7"/>
  <c r="D8" i="7"/>
  <c r="C9" i="7"/>
  <c r="D9" i="7"/>
  <c r="C10" i="7"/>
  <c r="D10" i="7"/>
  <c r="G14" i="16"/>
  <c r="AD10" i="16"/>
  <c r="AC10" i="16"/>
  <c r="AB10" i="16"/>
  <c r="AA10" i="16"/>
  <c r="X10" i="16"/>
  <c r="W10" i="16"/>
  <c r="V10" i="16"/>
  <c r="U10" i="16"/>
  <c r="T10" i="16"/>
  <c r="S10" i="16"/>
  <c r="R10" i="16"/>
  <c r="Q10" i="16"/>
  <c r="P10" i="16"/>
  <c r="O10" i="16"/>
  <c r="L10" i="16"/>
  <c r="K10" i="16"/>
  <c r="J10" i="16"/>
  <c r="I10" i="16"/>
  <c r="H10" i="16"/>
  <c r="G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F22" i="7"/>
  <c r="F23" i="7"/>
  <c r="F24" i="7"/>
  <c r="F25" i="7"/>
  <c r="F26" i="7"/>
  <c r="F27" i="7"/>
  <c r="F28" i="7"/>
  <c r="F29" i="7"/>
  <c r="F30" i="7"/>
  <c r="H14" i="16"/>
  <c r="G59" i="16"/>
  <c r="G58" i="16"/>
  <c r="H10" i="19"/>
  <c r="T10" i="19"/>
  <c r="J10" i="19"/>
  <c r="D11" i="19" s="1"/>
  <c r="F13" i="19" s="1"/>
  <c r="V10" i="19"/>
  <c r="K10" i="19"/>
  <c r="W10" i="19"/>
  <c r="L10" i="19"/>
  <c r="X10" i="19"/>
  <c r="M10" i="19"/>
  <c r="Y10" i="19"/>
  <c r="N10" i="19"/>
  <c r="Z10" i="19"/>
  <c r="O10" i="19"/>
  <c r="AA10" i="19"/>
  <c r="AB10" i="19"/>
  <c r="U10" i="19"/>
  <c r="H63" i="19"/>
  <c r="I14" i="19"/>
  <c r="K28" i="20"/>
  <c r="R10" i="19"/>
  <c r="S10" i="19"/>
  <c r="Q10" i="19"/>
  <c r="D8" i="20"/>
  <c r="P10" i="19"/>
  <c r="D10" i="20"/>
  <c r="P48" i="20" s="1"/>
  <c r="M10" i="16"/>
  <c r="Y10" i="16"/>
  <c r="E10" i="16"/>
  <c r="F11" i="16" s="1"/>
  <c r="N10" i="16"/>
  <c r="B18" i="7"/>
  <c r="B29" i="20"/>
  <c r="B19" i="7"/>
  <c r="D18" i="7"/>
  <c r="I62" i="19"/>
  <c r="I63" i="19"/>
  <c r="J14" i="19"/>
  <c r="E29" i="20"/>
  <c r="I29" i="20"/>
  <c r="H29" i="20"/>
  <c r="F29" i="20"/>
  <c r="B30" i="20"/>
  <c r="P29" i="20"/>
  <c r="P30" i="20"/>
  <c r="P38" i="20"/>
  <c r="P46" i="20"/>
  <c r="P50" i="20"/>
  <c r="P39" i="20"/>
  <c r="P51" i="20"/>
  <c r="P36" i="20"/>
  <c r="I14" i="16"/>
  <c r="H59" i="16"/>
  <c r="H58" i="16"/>
  <c r="J62" i="19"/>
  <c r="J63" i="19"/>
  <c r="K14" i="19"/>
  <c r="I59" i="16"/>
  <c r="J14" i="16"/>
  <c r="I58" i="16"/>
  <c r="B20" i="7"/>
  <c r="D19" i="7"/>
  <c r="E30" i="20"/>
  <c r="I30" i="20"/>
  <c r="F30" i="20"/>
  <c r="B31" i="20"/>
  <c r="K29" i="20"/>
  <c r="G29" i="20"/>
  <c r="J59" i="16"/>
  <c r="K14" i="16"/>
  <c r="J58" i="16"/>
  <c r="J11" i="16"/>
  <c r="B21" i="7"/>
  <c r="D20" i="7"/>
  <c r="K30" i="20"/>
  <c r="G30" i="20"/>
  <c r="K62" i="19"/>
  <c r="K63" i="19"/>
  <c r="L14" i="19"/>
  <c r="K11" i="19"/>
  <c r="N37" i="20"/>
  <c r="L37" i="20" s="1"/>
  <c r="N49" i="20"/>
  <c r="L49" i="20" s="1"/>
  <c r="N38" i="20"/>
  <c r="N50" i="20"/>
  <c r="L50" i="20" s="1"/>
  <c r="H30" i="20"/>
  <c r="N39" i="20"/>
  <c r="L39" i="20" s="1"/>
  <c r="N51" i="20"/>
  <c r="L51" i="20" s="1"/>
  <c r="M51" i="20" s="1"/>
  <c r="N31" i="20"/>
  <c r="L31" i="20"/>
  <c r="N43" i="20"/>
  <c r="L43" i="20" s="1"/>
  <c r="N28" i="20"/>
  <c r="L28" i="20"/>
  <c r="M28" i="20" s="1"/>
  <c r="N29" i="20"/>
  <c r="L29" i="20"/>
  <c r="M29" i="20" s="1"/>
  <c r="D12" i="20" s="1"/>
  <c r="N30" i="20"/>
  <c r="L30" i="20" s="1"/>
  <c r="M30" i="20" s="1"/>
  <c r="N33" i="20"/>
  <c r="L33" i="20" s="1"/>
  <c r="N40" i="20"/>
  <c r="L40" i="20" s="1"/>
  <c r="N41" i="20"/>
  <c r="L41" i="20" s="1"/>
  <c r="N42" i="20"/>
  <c r="L42" i="20" s="1"/>
  <c r="M42" i="20" s="1"/>
  <c r="N45" i="20"/>
  <c r="L45" i="20" s="1"/>
  <c r="N46" i="20"/>
  <c r="L46" i="20" s="1"/>
  <c r="M46" i="20" s="1"/>
  <c r="N34" i="20"/>
  <c r="L34" i="20" s="1"/>
  <c r="M34" i="20" s="1"/>
  <c r="N32" i="20"/>
  <c r="L32" i="20"/>
  <c r="N44" i="20"/>
  <c r="L44" i="20" s="1"/>
  <c r="N48" i="20"/>
  <c r="L48" i="20" s="1"/>
  <c r="N35" i="20"/>
  <c r="L35" i="20"/>
  <c r="N36" i="20"/>
  <c r="L36" i="20" s="1"/>
  <c r="M36" i="20" s="1"/>
  <c r="N47" i="20"/>
  <c r="L47" i="20" s="1"/>
  <c r="E31" i="20"/>
  <c r="I31" i="20"/>
  <c r="H31" i="20"/>
  <c r="F31" i="20"/>
  <c r="B32" i="20"/>
  <c r="L62" i="19"/>
  <c r="L63" i="19"/>
  <c r="M14" i="19"/>
  <c r="L11" i="19"/>
  <c r="E32" i="20"/>
  <c r="B33" i="20"/>
  <c r="F32" i="20"/>
  <c r="I32" i="20"/>
  <c r="H32" i="20"/>
  <c r="K31" i="20"/>
  <c r="G31" i="20"/>
  <c r="L38" i="20"/>
  <c r="L14" i="16"/>
  <c r="K58" i="16"/>
  <c r="K59" i="16"/>
  <c r="K11" i="16"/>
  <c r="B22" i="7"/>
  <c r="D21" i="7"/>
  <c r="B34" i="20"/>
  <c r="I33" i="20"/>
  <c r="H33" i="20"/>
  <c r="E33" i="20"/>
  <c r="F33" i="20"/>
  <c r="B23" i="7"/>
  <c r="D22" i="7"/>
  <c r="A22" i="7"/>
  <c r="E22" i="7"/>
  <c r="M62" i="19"/>
  <c r="M63" i="19"/>
  <c r="N14" i="19"/>
  <c r="M11" i="19"/>
  <c r="K32" i="20"/>
  <c r="G32" i="20"/>
  <c r="L58" i="16"/>
  <c r="M14" i="16"/>
  <c r="L59" i="16"/>
  <c r="L11" i="16"/>
  <c r="K33" i="20"/>
  <c r="G33" i="20"/>
  <c r="N14" i="16"/>
  <c r="M58" i="16"/>
  <c r="M59" i="16"/>
  <c r="M11" i="16"/>
  <c r="B35" i="20"/>
  <c r="I34" i="20"/>
  <c r="H34" i="20"/>
  <c r="E34" i="20"/>
  <c r="F34" i="20"/>
  <c r="N11" i="19"/>
  <c r="N62" i="19"/>
  <c r="N63" i="19"/>
  <c r="O14" i="19"/>
  <c r="B24" i="7"/>
  <c r="D23" i="7"/>
  <c r="A23" i="7"/>
  <c r="E23" i="7"/>
  <c r="A24" i="7"/>
  <c r="E24" i="7"/>
  <c r="D24" i="7"/>
  <c r="B25" i="7"/>
  <c r="O14" i="16"/>
  <c r="N58" i="16"/>
  <c r="N59" i="16"/>
  <c r="N11" i="16"/>
  <c r="P14" i="19"/>
  <c r="O11" i="19"/>
  <c r="O62" i="19"/>
  <c r="O63" i="19"/>
  <c r="G34" i="20"/>
  <c r="K34" i="20"/>
  <c r="B36" i="20"/>
  <c r="I35" i="20"/>
  <c r="H35" i="20"/>
  <c r="E35" i="20"/>
  <c r="F35" i="20"/>
  <c r="G35" i="20"/>
  <c r="K35" i="20"/>
  <c r="O11" i="16"/>
  <c r="P14" i="16"/>
  <c r="O59" i="16"/>
  <c r="O58" i="16"/>
  <c r="B37" i="20"/>
  <c r="I36" i="20"/>
  <c r="H36" i="20"/>
  <c r="E36" i="20"/>
  <c r="F36" i="20"/>
  <c r="Q14" i="19"/>
  <c r="P11" i="19"/>
  <c r="P62" i="19"/>
  <c r="P63" i="19"/>
  <c r="A25" i="7"/>
  <c r="E25" i="7"/>
  <c r="B26" i="7"/>
  <c r="D25" i="7"/>
  <c r="Q14" i="16"/>
  <c r="P11" i="16"/>
  <c r="P59" i="16"/>
  <c r="P58" i="16"/>
  <c r="G36" i="20"/>
  <c r="K36" i="20"/>
  <c r="B38" i="20"/>
  <c r="I37" i="20"/>
  <c r="H37" i="20"/>
  <c r="E37" i="20"/>
  <c r="F37" i="20"/>
  <c r="Q63" i="19"/>
  <c r="Q11" i="19"/>
  <c r="Q62" i="19"/>
  <c r="R14" i="19"/>
  <c r="A26" i="7"/>
  <c r="E26" i="7"/>
  <c r="B27" i="7"/>
  <c r="D26" i="7"/>
  <c r="G37" i="20"/>
  <c r="K37" i="20"/>
  <c r="E38" i="20"/>
  <c r="F38" i="20"/>
  <c r="B39" i="20"/>
  <c r="I38" i="20"/>
  <c r="H38" i="20"/>
  <c r="S14" i="19"/>
  <c r="R11" i="19"/>
  <c r="R62" i="19"/>
  <c r="R63" i="19"/>
  <c r="A27" i="7"/>
  <c r="E27" i="7"/>
  <c r="B28" i="7"/>
  <c r="D27" i="7"/>
  <c r="Q11" i="16"/>
  <c r="R14" i="16"/>
  <c r="Q58" i="16"/>
  <c r="Q59" i="16"/>
  <c r="S62" i="19"/>
  <c r="S63" i="19"/>
  <c r="T14" i="19"/>
  <c r="S11" i="19"/>
  <c r="E39" i="20"/>
  <c r="B40" i="20"/>
  <c r="I39" i="20"/>
  <c r="H39" i="20"/>
  <c r="F39" i="20"/>
  <c r="G3" i="20"/>
  <c r="K38" i="20"/>
  <c r="G38" i="20"/>
  <c r="A28" i="7"/>
  <c r="E28" i="7"/>
  <c r="D28" i="7"/>
  <c r="B29" i="7"/>
  <c r="R11" i="16"/>
  <c r="R58" i="16"/>
  <c r="S14" i="16"/>
  <c r="R59" i="16"/>
  <c r="K39" i="20"/>
  <c r="G39" i="20"/>
  <c r="S59" i="16"/>
  <c r="S11" i="16"/>
  <c r="S58" i="16"/>
  <c r="T14" i="16"/>
  <c r="D29" i="7"/>
  <c r="A29" i="7"/>
  <c r="E29" i="7"/>
  <c r="B30" i="7"/>
  <c r="D9" i="20"/>
  <c r="O49" i="20" s="1"/>
  <c r="G19" i="20"/>
  <c r="G20" i="20"/>
  <c r="D18" i="20"/>
  <c r="F40" i="20"/>
  <c r="E40" i="20"/>
  <c r="B41" i="20"/>
  <c r="I40" i="20"/>
  <c r="H40" i="20"/>
  <c r="T63" i="19"/>
  <c r="U14" i="19"/>
  <c r="T11" i="19"/>
  <c r="T62" i="19"/>
  <c r="U62" i="19"/>
  <c r="U63" i="19"/>
  <c r="V14" i="19"/>
  <c r="U11" i="19"/>
  <c r="D30" i="7"/>
  <c r="A30" i="7"/>
  <c r="E30" i="7"/>
  <c r="K40" i="20"/>
  <c r="G40" i="20"/>
  <c r="O36" i="20"/>
  <c r="O44" i="20"/>
  <c r="D23" i="20"/>
  <c r="F41" i="20"/>
  <c r="E41" i="20"/>
  <c r="B42" i="20"/>
  <c r="I41" i="20"/>
  <c r="H41" i="20"/>
  <c r="T59" i="16"/>
  <c r="T11" i="16"/>
  <c r="T58" i="16"/>
  <c r="U14" i="16"/>
  <c r="K41" i="20"/>
  <c r="G41" i="20"/>
  <c r="U59" i="16"/>
  <c r="V14" i="16"/>
  <c r="U11" i="16"/>
  <c r="U58" i="16"/>
  <c r="V62" i="19"/>
  <c r="V63" i="19"/>
  <c r="W14" i="19"/>
  <c r="V11" i="19"/>
  <c r="F42" i="20"/>
  <c r="E42" i="20"/>
  <c r="B43" i="20"/>
  <c r="I42" i="20"/>
  <c r="H42" i="20"/>
  <c r="V59" i="16"/>
  <c r="W14" i="16"/>
  <c r="V11" i="16"/>
  <c r="V58" i="16"/>
  <c r="W62" i="19"/>
  <c r="W63" i="19"/>
  <c r="X14" i="19"/>
  <c r="W11" i="19"/>
  <c r="G42" i="20"/>
  <c r="K42" i="20"/>
  <c r="F43" i="20"/>
  <c r="I43" i="20"/>
  <c r="H43" i="20"/>
  <c r="E43" i="20"/>
  <c r="B44" i="20"/>
  <c r="G43" i="20"/>
  <c r="K43" i="20"/>
  <c r="X62" i="19"/>
  <c r="X63" i="19"/>
  <c r="X11" i="19"/>
  <c r="Y14" i="19"/>
  <c r="B45" i="20"/>
  <c r="I44" i="20"/>
  <c r="H44" i="20"/>
  <c r="F44" i="20"/>
  <c r="E44" i="20"/>
  <c r="X14" i="16"/>
  <c r="W58" i="16"/>
  <c r="W59" i="16"/>
  <c r="W11" i="16"/>
  <c r="K44" i="20"/>
  <c r="G44" i="20"/>
  <c r="Y62" i="19"/>
  <c r="Y11" i="19"/>
  <c r="Y63" i="19"/>
  <c r="Z14" i="19"/>
  <c r="X58" i="16"/>
  <c r="X59" i="16"/>
  <c r="X11" i="16"/>
  <c r="Y14" i="16"/>
  <c r="B46" i="20"/>
  <c r="F45" i="20"/>
  <c r="E45" i="20"/>
  <c r="I45" i="20"/>
  <c r="H45" i="20"/>
  <c r="I46" i="20"/>
  <c r="H46" i="20"/>
  <c r="E46" i="20"/>
  <c r="B47" i="20"/>
  <c r="F46" i="20"/>
  <c r="K45" i="20"/>
  <c r="G45" i="20"/>
  <c r="Z14" i="16"/>
  <c r="Y59" i="16"/>
  <c r="Y58" i="16"/>
  <c r="Y11" i="16"/>
  <c r="Z11" i="19"/>
  <c r="Z62" i="19"/>
  <c r="Z63" i="19"/>
  <c r="AA14" i="19"/>
  <c r="Z11" i="16"/>
  <c r="AA14" i="16"/>
  <c r="Z59" i="16"/>
  <c r="Z58" i="16"/>
  <c r="I47" i="20"/>
  <c r="H47" i="20"/>
  <c r="E47" i="20"/>
  <c r="B48" i="20"/>
  <c r="F47" i="20"/>
  <c r="K46" i="20"/>
  <c r="G46" i="20"/>
  <c r="AB14" i="19"/>
  <c r="AA11" i="19"/>
  <c r="AA62" i="19"/>
  <c r="AA63" i="19"/>
  <c r="AC14" i="19"/>
  <c r="AB11" i="19"/>
  <c r="AB62" i="19"/>
  <c r="AB63" i="19"/>
  <c r="K47" i="20"/>
  <c r="G47" i="20"/>
  <c r="I48" i="20"/>
  <c r="H48" i="20"/>
  <c r="E48" i="20"/>
  <c r="B49" i="20"/>
  <c r="F48" i="20"/>
  <c r="AB14" i="16"/>
  <c r="AA58" i="16"/>
  <c r="AA11" i="16"/>
  <c r="AA59" i="16"/>
  <c r="AC14" i="16"/>
  <c r="AB59" i="16"/>
  <c r="AB58" i="16"/>
  <c r="AB11" i="16"/>
  <c r="I49" i="20"/>
  <c r="H49" i="20"/>
  <c r="F49" i="20"/>
  <c r="E49" i="20"/>
  <c r="B50" i="20"/>
  <c r="G48" i="20"/>
  <c r="K48" i="20"/>
  <c r="AC21" i="19"/>
  <c r="AC41" i="19"/>
  <c r="AC44" i="19"/>
  <c r="AC47" i="19"/>
  <c r="AC50" i="19"/>
  <c r="AC53" i="19"/>
  <c r="AC56" i="19"/>
  <c r="AC59" i="19"/>
  <c r="AC63" i="19"/>
  <c r="AD14" i="19"/>
  <c r="AC23" i="19"/>
  <c r="AC26" i="19"/>
  <c r="AC11" i="19"/>
  <c r="AC27" i="19"/>
  <c r="AC42" i="19"/>
  <c r="AC45" i="19"/>
  <c r="AC48" i="19"/>
  <c r="AC51" i="19"/>
  <c r="AC54" i="19"/>
  <c r="AC57" i="19"/>
  <c r="AC60" i="19"/>
  <c r="AC40" i="19"/>
  <c r="AC28" i="19"/>
  <c r="AC29" i="19"/>
  <c r="AC39" i="19"/>
  <c r="AC30" i="19"/>
  <c r="AC37" i="19"/>
  <c r="AC24" i="19"/>
  <c r="AC33" i="19"/>
  <c r="AC43" i="19"/>
  <c r="AC55" i="19"/>
  <c r="AC19" i="19"/>
  <c r="AC49" i="19"/>
  <c r="AC61" i="19"/>
  <c r="AC22" i="19"/>
  <c r="AC38" i="19"/>
  <c r="AC36" i="19"/>
  <c r="AC34" i="19"/>
  <c r="AC52" i="19"/>
  <c r="AC17" i="19"/>
  <c r="AC10" i="19"/>
  <c r="AC20" i="19"/>
  <c r="AC62" i="19"/>
  <c r="AC31" i="19"/>
  <c r="AC46" i="19"/>
  <c r="AC58" i="19"/>
  <c r="AC32" i="19"/>
  <c r="AD36" i="19"/>
  <c r="AD17" i="19"/>
  <c r="AD10" i="19"/>
  <c r="AD32" i="19"/>
  <c r="AD20" i="19"/>
  <c r="AD24" i="19"/>
  <c r="AD21" i="19"/>
  <c r="AD40" i="19"/>
  <c r="AD22" i="19"/>
  <c r="AD11" i="19"/>
  <c r="AD23" i="19"/>
  <c r="AD42" i="19"/>
  <c r="AD45" i="19"/>
  <c r="AD48" i="19"/>
  <c r="AD51" i="19"/>
  <c r="AD54" i="19"/>
  <c r="AD57" i="19"/>
  <c r="AD60" i="19"/>
  <c r="AD39" i="19"/>
  <c r="AD26" i="19"/>
  <c r="AD27" i="19"/>
  <c r="AD38" i="19"/>
  <c r="AD33" i="19"/>
  <c r="AD62" i="19"/>
  <c r="AD19" i="19"/>
  <c r="AD43" i="19"/>
  <c r="AD47" i="19"/>
  <c r="AD55" i="19"/>
  <c r="AD59" i="19"/>
  <c r="AD37" i="19"/>
  <c r="AD28" i="19"/>
  <c r="AD29" i="19"/>
  <c r="AD34" i="19"/>
  <c r="AD44" i="19"/>
  <c r="AD52" i="19"/>
  <c r="AD30" i="19"/>
  <c r="AD56" i="19"/>
  <c r="AD31" i="19"/>
  <c r="AD41" i="19"/>
  <c r="AD49" i="19"/>
  <c r="AD53" i="19"/>
  <c r="AD61" i="19"/>
  <c r="AD63" i="19"/>
  <c r="AD46" i="19"/>
  <c r="AD50" i="19"/>
  <c r="AD58" i="19"/>
  <c r="K49" i="20"/>
  <c r="G49" i="20"/>
  <c r="B51" i="20"/>
  <c r="F50" i="20"/>
  <c r="I50" i="20"/>
  <c r="H50" i="20"/>
  <c r="E50" i="20"/>
  <c r="AC17" i="16"/>
  <c r="AC11" i="16"/>
  <c r="AC20" i="16"/>
  <c r="AC23" i="16"/>
  <c r="AC26" i="16"/>
  <c r="AC29" i="16"/>
  <c r="AC32" i="16"/>
  <c r="AC35" i="16"/>
  <c r="AC38" i="16"/>
  <c r="AC41" i="16"/>
  <c r="AC44" i="16"/>
  <c r="AC47" i="16"/>
  <c r="AC50" i="16"/>
  <c r="AC53" i="16"/>
  <c r="AC56" i="16"/>
  <c r="AD14" i="16"/>
  <c r="AC21" i="16"/>
  <c r="AC28" i="16"/>
  <c r="AC39" i="16"/>
  <c r="AC46" i="16"/>
  <c r="AC57" i="16"/>
  <c r="AC25" i="16"/>
  <c r="AC36" i="16"/>
  <c r="AC43" i="16"/>
  <c r="AC54" i="16"/>
  <c r="AC52" i="16"/>
  <c r="AC59" i="16"/>
  <c r="AC22" i="16"/>
  <c r="AC33" i="16"/>
  <c r="AC40" i="16"/>
  <c r="AC51" i="16"/>
  <c r="AC19" i="16"/>
  <c r="AC30" i="16"/>
  <c r="AC48" i="16"/>
  <c r="AC55" i="16"/>
  <c r="AC37" i="16"/>
  <c r="AC16" i="16"/>
  <c r="AC18" i="16"/>
  <c r="AC27" i="16"/>
  <c r="AC34" i="16"/>
  <c r="AC45" i="16"/>
  <c r="AC24" i="16"/>
  <c r="AC31" i="16"/>
  <c r="AC49" i="16"/>
  <c r="AC42" i="16"/>
  <c r="AC58" i="16"/>
  <c r="I51" i="20"/>
  <c r="H51" i="20"/>
  <c r="F51" i="20"/>
  <c r="E51" i="20"/>
  <c r="AD11" i="16"/>
  <c r="AD20" i="16"/>
  <c r="AD23" i="16"/>
  <c r="AD26" i="16"/>
  <c r="AD29" i="16"/>
  <c r="AD32" i="16"/>
  <c r="AD35" i="16"/>
  <c r="AD38" i="16"/>
  <c r="AD41" i="16"/>
  <c r="AD44" i="16"/>
  <c r="AD47" i="16"/>
  <c r="AD50" i="16"/>
  <c r="AD53" i="16"/>
  <c r="AD56" i="16"/>
  <c r="AD34" i="16"/>
  <c r="AD45" i="16"/>
  <c r="AD59" i="16"/>
  <c r="AD21" i="16"/>
  <c r="AD28" i="16"/>
  <c r="AD39" i="16"/>
  <c r="AD46" i="16"/>
  <c r="AD57" i="16"/>
  <c r="AD25" i="16"/>
  <c r="AD54" i="16"/>
  <c r="AD16" i="16"/>
  <c r="AD36" i="16"/>
  <c r="AD30" i="16"/>
  <c r="AD37" i="16"/>
  <c r="AD43" i="16"/>
  <c r="AD48" i="16"/>
  <c r="AD17" i="16"/>
  <c r="AD18" i="16"/>
  <c r="AD22" i="16"/>
  <c r="AD33" i="16"/>
  <c r="AD40" i="16"/>
  <c r="AD51" i="16"/>
  <c r="AD19" i="16"/>
  <c r="AD55" i="16"/>
  <c r="AD27" i="16"/>
  <c r="AD52" i="16"/>
  <c r="AD24" i="16"/>
  <c r="AD42" i="16"/>
  <c r="AD49" i="16"/>
  <c r="AD31" i="16"/>
  <c r="AD58" i="16"/>
  <c r="G50" i="20"/>
  <c r="K50" i="20"/>
  <c r="K51" i="20"/>
  <c r="G51" i="20"/>
  <c r="M32" i="20" l="1"/>
  <c r="O43" i="20"/>
  <c r="O31" i="20"/>
  <c r="H11" i="16"/>
  <c r="D11" i="16"/>
  <c r="D13" i="16" s="1"/>
  <c r="O46" i="20"/>
  <c r="M44" i="20"/>
  <c r="M45" i="20"/>
  <c r="O38" i="20"/>
  <c r="M49" i="20"/>
  <c r="G11" i="16"/>
  <c r="O35" i="20"/>
  <c r="O50" i="20"/>
  <c r="O30" i="20"/>
  <c r="M33" i="20"/>
  <c r="M37" i="20"/>
  <c r="D11" i="20"/>
  <c r="I11" i="16"/>
  <c r="P42" i="20"/>
  <c r="M40" i="20"/>
  <c r="O47" i="20"/>
  <c r="O48" i="20"/>
  <c r="Q50" i="20"/>
  <c r="M39" i="20"/>
  <c r="Q41" i="20"/>
  <c r="Q33" i="20"/>
  <c r="I11" i="19"/>
  <c r="Q48" i="20"/>
  <c r="O51" i="20"/>
  <c r="M41" i="20"/>
  <c r="M50" i="20"/>
  <c r="Q44" i="20"/>
  <c r="P31" i="20"/>
  <c r="F11" i="19"/>
  <c r="O41" i="20"/>
  <c r="Q38" i="20"/>
  <c r="H11" i="19"/>
  <c r="O33" i="20"/>
  <c r="Q43" i="20"/>
  <c r="M35" i="20"/>
  <c r="J11" i="19"/>
  <c r="O45" i="20"/>
  <c r="M48" i="20"/>
  <c r="O37" i="20"/>
  <c r="O29" i="20"/>
  <c r="Q34" i="20"/>
  <c r="D24" i="20"/>
  <c r="Q31" i="20"/>
  <c r="M43" i="20"/>
  <c r="M31" i="20"/>
  <c r="M47" i="20"/>
  <c r="O39" i="20"/>
  <c r="O28" i="20"/>
  <c r="Q51" i="20"/>
  <c r="Q40" i="20"/>
  <c r="Q42" i="20"/>
  <c r="Q36" i="20"/>
  <c r="Q32" i="20"/>
  <c r="O42" i="20"/>
  <c r="O40" i="20"/>
  <c r="Q46" i="20"/>
  <c r="Q28" i="20"/>
  <c r="P47" i="20"/>
  <c r="P34" i="20"/>
  <c r="O34" i="20"/>
  <c r="O32" i="20"/>
  <c r="M38" i="20"/>
  <c r="Q39" i="20"/>
  <c r="P44" i="20"/>
  <c r="P49" i="20"/>
  <c r="Q30" i="20"/>
  <c r="P35" i="20"/>
  <c r="P45" i="20"/>
  <c r="D19" i="20"/>
  <c r="Q47" i="20"/>
  <c r="P28" i="20"/>
  <c r="P41" i="20"/>
  <c r="Q49" i="20"/>
  <c r="P43" i="20"/>
  <c r="P37" i="20"/>
  <c r="D13" i="19"/>
  <c r="U12" i="19" s="1"/>
  <c r="D20" i="20"/>
  <c r="Q45" i="20"/>
  <c r="P32" i="20"/>
  <c r="P33" i="20"/>
  <c r="Q37" i="20"/>
  <c r="P40" i="20"/>
  <c r="Q35" i="20"/>
  <c r="F13" i="16"/>
  <c r="L12" i="16" l="1"/>
  <c r="O12" i="16"/>
  <c r="J12" i="16"/>
  <c r="Q12" i="16"/>
  <c r="U12" i="16"/>
  <c r="T12" i="16"/>
  <c r="Q29" i="20"/>
  <c r="D21" i="20"/>
  <c r="G9" i="20"/>
  <c r="S12" i="19"/>
  <c r="I12" i="19"/>
  <c r="T12" i="19"/>
  <c r="AA12" i="19"/>
  <c r="AA12" i="16"/>
  <c r="G12" i="19"/>
  <c r="F12" i="19"/>
  <c r="Q12" i="19"/>
  <c r="F12" i="16"/>
  <c r="K12" i="16"/>
  <c r="R12" i="16"/>
  <c r="O12" i="19"/>
  <c r="N12" i="16"/>
  <c r="Y12" i="19"/>
  <c r="M12" i="19"/>
  <c r="AC12" i="16"/>
  <c r="K12" i="19"/>
  <c r="V12" i="19"/>
  <c r="AB12" i="16"/>
  <c r="W12" i="16"/>
  <c r="G12" i="16"/>
  <c r="M12" i="16"/>
  <c r="Z12" i="19"/>
  <c r="P12" i="16"/>
  <c r="V12" i="16"/>
  <c r="I12" i="16"/>
  <c r="D22" i="20"/>
  <c r="X12" i="16"/>
  <c r="Y12" i="16"/>
  <c r="J12" i="19"/>
  <c r="H12" i="16"/>
  <c r="W12" i="19"/>
  <c r="AB12" i="19"/>
  <c r="AC12" i="19"/>
  <c r="H12" i="19"/>
  <c r="X12" i="19"/>
  <c r="L12" i="19"/>
  <c r="R12" i="19"/>
  <c r="S12" i="16"/>
  <c r="P12" i="19"/>
  <c r="AD12" i="19"/>
  <c r="AD12" i="16"/>
  <c r="Z12" i="16"/>
  <c r="N1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628C170C-C5DB-E546-8301-FE01E64A1BB1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66CD34E8-875E-AD47-B2DE-BE6C5B76325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CFA2C61E-C634-4F49-91BC-020F7B4D407E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7E2286C0-4FC6-0F44-B533-C50F046708FB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E5329F1A-5945-7146-96D8-3665417C74EB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8752931-94A5-2049-99ED-CE159A56F852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792DF01B-8CE9-E24A-B5FD-22D46E4E1BF5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6BBC0D60-05D0-564F-A6F8-E05A16C96F8A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3F65244D-C0C4-BF4A-A4F3-D5117A555FDC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4A4B153B-CCC6-1441-BC6D-2AB81D295197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<sst xmlns="http://schemas.openxmlformats.org/spreadsheetml/2006/main" count="213" uniqueCount="134">
  <si>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</si>
  <si>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</si>
  <si>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</si>
  <si>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</si>
  <si>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</si>
  <si>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</si>
  <si>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</si>
  <si>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</si>
  <si>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</si>
  <si>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</si>
  <si>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</si>
  <si>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</si>
  <si>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</si>
  <si>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</si>
  <si>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</si>
  <si>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</si>
  <si>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</si>
  <si>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</si>
  <si>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</si>
  <si>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</si>
  <si>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</si>
  <si>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</si>
  <si>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</si>
  <si>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</si>
  <si>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</si>
  <si>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</si>
  <si>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</si>
  <si>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</si>
  <si>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</si>
  <si>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</si>
  <si>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</si>
  <si>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</si>
  <si>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</si>
  <si>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</si>
  <si>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</si>
  <si>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</si>
  <si>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</si>
  <si>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</si>
  <si>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</si>
  <si>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</si>
  <si>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</si>
  <si>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</si>
  <si>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</si>
  <si>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</si>
  <si>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</si>
  <si>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</si>
  <si>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</si>
  <si>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</si>
  <si>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</si>
  <si>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</si>
  <si>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</si>
  <si>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</si>
  <si>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</si>
  <si>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</si>
  <si>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</si>
  <si>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</si>
  <si>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</si>
  <si>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</si>
  <si>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</si>
  <si>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</si>
  <si>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</si>
  <si>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</si>
  <si>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</si>
  <si>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</si>
  <si>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</si>
  <si>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</si>
  <si>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</si>
  <si>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</si>
  <si>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</si>
  <si>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</si>
  <si>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</si>
  <si>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</si>
  <si>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</si>
  <si>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Specification and prototype development</t>
  </si>
  <si>
    <t>Specification and prototype development, documentation</t>
  </si>
  <si>
    <t>Usability test, documentation, prototype corrections</t>
  </si>
  <si>
    <t>Priority</t>
  </si>
  <si>
    <t>Planning</t>
  </si>
  <si>
    <t xml:space="preserve"> </t>
  </si>
  <si>
    <t>Done</t>
  </si>
  <si>
    <t>Example task</t>
  </si>
  <si>
    <t>Example task 2</t>
  </si>
  <si>
    <t>Ongoing</t>
  </si>
  <si>
    <t>Example task 3</t>
  </si>
  <si>
    <t>&lt;Delete these example lines&gt;</t>
  </si>
  <si>
    <t>Danny Dev</t>
  </si>
  <si>
    <t>Tina Tester</t>
  </si>
  <si>
    <t>This is a sample story</t>
  </si>
  <si>
    <t>This is another sample story</t>
  </si>
  <si>
    <t>You can add comments here to add key detail or explanation to the story. For larger definitions, use external tools and materials.</t>
  </si>
  <si>
    <t>This is a third sample story</t>
  </si>
  <si>
    <t>This is a fourth sample story</t>
  </si>
  <si>
    <t>This is an unallocated sample story</t>
  </si>
  <si>
    <t>This is a removed story</t>
  </si>
  <si>
    <t>Removed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</si>
  <si>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</si>
  <si>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</si>
  <si>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</si>
  <si>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</si>
  <si>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</si>
  <si>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</si>
  <si>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</si>
  <si>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</si>
  <si>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</si>
  <si>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</si>
  <si>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</si>
  <si>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</si>
  <si>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</si>
  <si>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</si>
  <si>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</si>
  <si>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WHAT WENT WELL?</t>
  </si>
  <si>
    <t>WHAT WENT POORLY?</t>
  </si>
  <si>
    <t>WHAT NEW IDEAS DO WE HAVE?</t>
  </si>
  <si>
    <t>WHAT ACTIONS WILL WE TAKE?</t>
  </si>
  <si>
    <t>TEAM SELF-ASSESMENT</t>
  </si>
  <si>
    <t>Name 1</t>
  </si>
  <si>
    <t>Name 2</t>
  </si>
  <si>
    <t>Name 3</t>
  </si>
  <si>
    <t>Name 4</t>
  </si>
  <si>
    <t>Name 5</t>
  </si>
  <si>
    <t>Name 6</t>
  </si>
  <si>
    <t>Name 7</t>
  </si>
  <si>
    <t>STEP 1: Everybody introduces her/his self-assesment</t>
  </si>
  <si>
    <t>STEP 2: Everybody introduces the team assesment</t>
  </si>
  <si>
    <t>My contribution to the team effort during this sprint(1-5)</t>
  </si>
  <si>
    <t>1- I almost had no contribution during this sprint</t>
  </si>
  <si>
    <t>[DIAGONAL---&gt; Self-assesment]</t>
  </si>
  <si>
    <t>2- My contribution has been less than expected</t>
  </si>
  <si>
    <t>[Rest of the matrix ----&gt; Team assesment]</t>
  </si>
  <si>
    <t>3- My contribution has been according my capabilities and with the agreement of the team.</t>
  </si>
  <si>
    <t>4- Contribution above expectations.</t>
  </si>
  <si>
    <t>5- Outstanding contribution and suport to other team members</t>
  </si>
  <si>
    <t>Evaluator:</t>
  </si>
  <si>
    <t>To evaluate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</si>
</sst>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89" formatCode="d\.m\.yyyy;@"/>
    <numFmt numFmtId="190" formatCode="0.0"/>
    <numFmt numFmtId="191" formatCode="&quot;Sprint &quot;#&quot; Backlog&quot;"/>
    <numFmt numFmtId="192" formatCode="&quot;Last &quot;###&quot; sprints&quot;"/>
  </numFmts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1"/>
      <name val="Century Gothic"/>
      <family val="2"/>
    </font>
    <font>
      <sz val="11"/>
      <color rgb="FF000000"/>
      <name val="Century Gothic"/>
      <family val="2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4D93D9"/>
        <bgColor rgb="FF000000"/>
      </patternFill>
    </fill>
    <fill>
      <patternFill patternType="solid">
        <fgColor rgb="FFFFF2CC"/>
        <bgColor rgb="FFFFF2CC"/>
      </patternFill>
    </fill>
    <fill>
      <patternFill patternType="solid">
        <fgColor rgb="FF00FF00"/>
        <bgColor rgb="FF00FF00"/>
      </patternFill>
    </fill>
    <fill>
      <patternFill patternType="solid">
        <fgColor theme="0" tint="-0.34998626667073579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808080"/>
      </right>
      <top/>
      <bottom style="thin">
        <color rgb="FFF2F2F2"/>
      </bottom>
      <diagonal/>
    </border>
    <border>
      <left/>
      <right style="medium">
        <color rgb="FF808080"/>
      </right>
      <top/>
      <bottom style="thin">
        <color rgb="FFF2F2F2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medium">
        <color rgb="FF808080"/>
      </right>
      <top/>
      <bottom style="thin">
        <color rgb="FF808080"/>
      </bottom>
      <diagonal/>
    </border>
    <border>
      <left/>
      <right style="thin">
        <color rgb="FF808080"/>
      </right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medium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F2F2F2"/>
      </bottom>
      <diagonal/>
    </border>
    <border>
      <left/>
      <right/>
      <top style="thin">
        <color rgb="FF808080"/>
      </top>
      <bottom style="thin">
        <color rgb="FFF2F2F2"/>
      </bottom>
      <diagonal/>
    </border>
    <border>
      <left/>
      <right style="thin">
        <color rgb="FF808080"/>
      </right>
      <top style="thin">
        <color rgb="FF808080"/>
      </top>
      <bottom style="thin">
        <color rgb="FFF2F2F2"/>
      </bottom>
      <diagonal/>
    </border>
    <border>
      <left/>
      <right style="medium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 style="thin">
        <color rgb="FF808080"/>
      </right>
      <top style="thin">
        <color rgb="FFF2F2F2"/>
      </top>
      <bottom style="thin">
        <color rgb="FFF2F2F2"/>
      </bottom>
      <diagonal/>
    </border>
    <border>
      <left/>
      <right style="medium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808080"/>
      </left>
      <right/>
      <top style="thin">
        <color rgb="FFF2F2F2"/>
      </top>
      <bottom style="thin">
        <color rgb="FF808080"/>
      </bottom>
      <diagonal/>
    </border>
    <border>
      <left/>
      <right/>
      <top style="thin">
        <color rgb="FFF2F2F2"/>
      </top>
      <bottom style="thin">
        <color rgb="FF808080"/>
      </bottom>
      <diagonal/>
    </border>
    <border>
      <left style="thin">
        <color rgb="FF808080"/>
      </left>
      <right/>
      <top style="thin">
        <color rgb="FFF2F2F2"/>
      </top>
      <bottom style="medium">
        <color rgb="FF808080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91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91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89" fontId="0" fillId="2" borderId="0" xfId="0" applyNumberFormat="1" applyFill="1" applyBorder="1" applyAlignment="1">
      <alignment horizontal="center"/>
    </xf>
    <xf numFmtId="189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89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89" fontId="0" fillId="0" borderId="11" xfId="0" applyNumberFormat="1" applyBorder="1" applyAlignment="1">
      <alignment horizontal="center"/>
    </xf>
    <xf numFmtId="189" fontId="0" fillId="0" borderId="0" xfId="0" applyNumberFormat="1" applyBorder="1" applyAlignment="1">
      <alignment horizontal="center"/>
    </xf>
    <xf numFmtId="189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90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90" fontId="0" fillId="0" borderId="0" xfId="0" applyNumberFormat="1"/>
    <xf numFmtId="191" fontId="4" fillId="0" borderId="0" xfId="0" applyNumberFormat="1" applyFont="1" applyAlignment="1">
      <alignment horizontal="left" vertical="top"/>
    </xf>
    <xf numFmtId="191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horizontal="center" vertical="top"/>
    </xf>
    <xf numFmtId="0" fontId="13" fillId="0" borderId="33" xfId="0" applyFont="1" applyBorder="1" applyAlignment="1">
      <alignment vertical="center" wrapText="1"/>
    </xf>
    <xf numFmtId="0" fontId="13" fillId="0" borderId="34" xfId="0" applyFont="1" applyBorder="1" applyAlignment="1">
      <alignment vertical="center" wrapText="1"/>
    </xf>
    <xf numFmtId="0" fontId="13" fillId="0" borderId="35" xfId="0" applyFont="1" applyBorder="1" applyAlignment="1">
      <alignment vertical="center" wrapText="1"/>
    </xf>
    <xf numFmtId="0" fontId="13" fillId="0" borderId="36" xfId="0" applyFont="1" applyBorder="1" applyAlignment="1">
      <alignment vertical="center" wrapText="1"/>
    </xf>
    <xf numFmtId="0" fontId="13" fillId="0" borderId="37" xfId="0" applyFont="1" applyBorder="1" applyAlignment="1">
      <alignment vertical="center" wrapText="1"/>
    </xf>
    <xf numFmtId="0" fontId="13" fillId="0" borderId="38" xfId="0" applyFont="1" applyBorder="1" applyAlignment="1">
      <alignment vertical="center" wrapText="1"/>
    </xf>
    <xf numFmtId="0" fontId="11" fillId="0" borderId="0" xfId="0" applyFont="1" applyAlignment="1">
      <alignment wrapText="1"/>
    </xf>
    <xf numFmtId="0" fontId="11" fillId="8" borderId="55" xfId="0" applyFont="1" applyFill="1" applyBorder="1" applyAlignment="1">
      <alignment wrapText="1"/>
    </xf>
    <xf numFmtId="0" fontId="11" fillId="0" borderId="0" xfId="0" applyFont="1"/>
    <xf numFmtId="0" fontId="11" fillId="9" borderId="55" xfId="0" applyFont="1" applyFill="1" applyBorder="1" applyAlignment="1">
      <alignment wrapText="1"/>
    </xf>
    <xf numFmtId="0" fontId="11" fillId="0" borderId="55" xfId="0" applyFont="1" applyBorder="1" applyAlignment="1">
      <alignment wrapText="1"/>
    </xf>
    <xf numFmtId="0" fontId="11" fillId="8" borderId="55" xfId="0" applyFont="1" applyFill="1" applyBorder="1"/>
    <xf numFmtId="0" fontId="11" fillId="0" borderId="55" xfId="0" applyFont="1" applyBorder="1"/>
    <xf numFmtId="0" fontId="0" fillId="0" borderId="0" xfId="0" applyAlignment="1">
      <alignment horizontal="center" wrapText="1"/>
    </xf>
    <xf numFmtId="0" fontId="11" fillId="8" borderId="56" xfId="0" applyFont="1" applyFill="1" applyBorder="1" applyAlignment="1">
      <alignment wrapText="1"/>
    </xf>
    <xf numFmtId="0" fontId="1" fillId="10" borderId="56" xfId="0" applyFont="1" applyFill="1" applyBorder="1" applyAlignment="1">
      <alignment wrapText="1"/>
    </xf>
    <xf numFmtId="0" fontId="1" fillId="10" borderId="9" xfId="0" applyFont="1" applyFill="1" applyBorder="1" applyAlignment="1">
      <alignment wrapText="1"/>
    </xf>
    <xf numFmtId="192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2" fillId="4" borderId="39" xfId="0" applyFont="1" applyFill="1" applyBorder="1" applyAlignment="1">
      <alignment horizontal="center" vertical="center" wrapText="1"/>
    </xf>
    <xf numFmtId="0" fontId="12" fillId="4" borderId="40" xfId="0" applyFont="1" applyFill="1" applyBorder="1" applyAlignment="1">
      <alignment horizontal="center" vertical="center" wrapText="1"/>
    </xf>
    <xf numFmtId="0" fontId="12" fillId="4" borderId="41" xfId="0" applyFont="1" applyFill="1" applyBorder="1" applyAlignment="1">
      <alignment horizontal="center" vertical="center" wrapText="1"/>
    </xf>
    <xf numFmtId="0" fontId="12" fillId="5" borderId="39" xfId="0" applyFont="1" applyFill="1" applyBorder="1" applyAlignment="1">
      <alignment horizontal="center" vertical="center" wrapText="1"/>
    </xf>
    <xf numFmtId="0" fontId="12" fillId="5" borderId="40" xfId="0" applyFont="1" applyFill="1" applyBorder="1" applyAlignment="1">
      <alignment horizontal="center" vertical="center" wrapText="1"/>
    </xf>
    <xf numFmtId="0" fontId="12" fillId="5" borderId="42" xfId="0" applyFont="1" applyFill="1" applyBorder="1" applyAlignment="1">
      <alignment horizontal="center" vertical="center" wrapText="1"/>
    </xf>
    <xf numFmtId="0" fontId="13" fillId="0" borderId="43" xfId="0" applyFont="1" applyBorder="1" applyAlignment="1">
      <alignment horizontal="left" vertical="center" wrapText="1" indent="1"/>
    </xf>
    <xf numFmtId="0" fontId="13" fillId="0" borderId="44" xfId="0" applyFont="1" applyBorder="1" applyAlignment="1">
      <alignment horizontal="left" vertical="center" wrapText="1" indent="1"/>
    </xf>
    <xf numFmtId="0" fontId="13" fillId="0" borderId="45" xfId="0" applyFont="1" applyBorder="1" applyAlignment="1">
      <alignment horizontal="left" vertical="center" wrapText="1" indent="1"/>
    </xf>
    <xf numFmtId="0" fontId="13" fillId="0" borderId="46" xfId="0" applyFont="1" applyBorder="1" applyAlignment="1">
      <alignment horizontal="left" vertical="center" wrapText="1" indent="1"/>
    </xf>
    <xf numFmtId="0" fontId="13" fillId="0" borderId="47" xfId="0" applyFont="1" applyBorder="1" applyAlignment="1">
      <alignment horizontal="left" vertical="center" wrapText="1" indent="1"/>
    </xf>
    <xf numFmtId="0" fontId="13" fillId="0" borderId="48" xfId="0" applyFont="1" applyBorder="1" applyAlignment="1">
      <alignment horizontal="left" vertical="center" wrapText="1" indent="1"/>
    </xf>
    <xf numFmtId="0" fontId="13" fillId="0" borderId="49" xfId="0" applyFont="1" applyBorder="1" applyAlignment="1">
      <alignment horizontal="left" vertical="center" wrapText="1" indent="1"/>
    </xf>
    <xf numFmtId="0" fontId="13" fillId="0" borderId="50" xfId="0" applyFont="1" applyBorder="1" applyAlignment="1">
      <alignment horizontal="left" vertical="center" wrapText="1" indent="1"/>
    </xf>
    <xf numFmtId="0" fontId="13" fillId="0" borderId="51" xfId="0" applyFont="1" applyBorder="1" applyAlignment="1">
      <alignment horizontal="left" vertical="center" wrapText="1" indent="1"/>
    </xf>
    <xf numFmtId="0" fontId="13" fillId="0" borderId="52" xfId="0" applyFont="1" applyBorder="1" applyAlignment="1">
      <alignment horizontal="left" vertical="center" wrapText="1" indent="1"/>
    </xf>
    <xf numFmtId="0" fontId="12" fillId="6" borderId="39" xfId="0" applyFont="1" applyFill="1" applyBorder="1" applyAlignment="1">
      <alignment horizontal="center" vertical="center" wrapText="1"/>
    </xf>
    <xf numFmtId="0" fontId="12" fillId="6" borderId="40" xfId="0" applyFont="1" applyFill="1" applyBorder="1" applyAlignment="1">
      <alignment horizontal="center" vertical="center" wrapText="1"/>
    </xf>
    <xf numFmtId="0" fontId="12" fillId="6" borderId="41" xfId="0" applyFont="1" applyFill="1" applyBorder="1" applyAlignment="1">
      <alignment horizontal="center" vertical="center" wrapText="1"/>
    </xf>
    <xf numFmtId="0" fontId="12" fillId="7" borderId="39" xfId="0" applyFont="1" applyFill="1" applyBorder="1" applyAlignment="1">
      <alignment horizontal="center" vertical="center" wrapText="1"/>
    </xf>
    <xf numFmtId="0" fontId="12" fillId="7" borderId="40" xfId="0" applyFont="1" applyFill="1" applyBorder="1" applyAlignment="1">
      <alignment horizontal="center" vertical="center" wrapText="1"/>
    </xf>
    <xf numFmtId="0" fontId="12" fillId="7" borderId="42" xfId="0" applyFont="1" applyFill="1" applyBorder="1" applyAlignment="1">
      <alignment horizontal="center" vertical="center" wrapText="1"/>
    </xf>
    <xf numFmtId="0" fontId="13" fillId="0" borderId="53" xfId="0" applyFont="1" applyBorder="1" applyAlignment="1">
      <alignment horizontal="left" vertical="center" wrapText="1" indent="1"/>
    </xf>
    <xf numFmtId="0" fontId="13" fillId="0" borderId="54" xfId="0" applyFont="1" applyBorder="1" applyAlignment="1">
      <alignment horizontal="left" vertical="center" wrapText="1" indent="1"/>
    </xf>
  </cellXfs>
  <cellStyles count="1">
    <cellStyle name="Normal" xfId="0" builtinId="0"/>
  </cellStyles>
  <dxfs count="2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ES_tradnl"/>
              <a:t>Velocity and Remaining Work</a:t>
            </a:r>
          </a:p>
        </c:rich>
      </c:tx>
      <c:layout>
        <c:manualLayout>
          <c:xMode val="edge"/>
          <c:yMode val="edge"/>
          <c:x val="0.24070221371211972"/>
          <c:y val="1.65981638187342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443998656881963E-2"/>
          <c:y val="0.11203684110752782"/>
          <c:w val="0.90077238374827173"/>
          <c:h val="0.78840740038630686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3810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5"/>
                <c:pt idx="0">
                  <c:v>137</c:v>
                </c:pt>
                <c:pt idx="1">
                  <c:v>114</c:v>
                </c:pt>
                <c:pt idx="2">
                  <c:v>87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F64C-915A-59430E29FADA}"/>
            </c:ext>
          </c:extLst>
        </c:ser>
        <c:ser>
          <c:idx val="1"/>
          <c:order val="1"/>
          <c:spPr>
            <a:ln w="3810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5"/>
                <c:pt idx="0">
                  <c:v>137</c:v>
                </c:pt>
                <c:pt idx="1">
                  <c:v>114</c:v>
                </c:pt>
                <c:pt idx="2">
                  <c:v>87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7F-F64C-915A-59430E29FAD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7F-F64C-915A-59430E29FADA}"/>
            </c:ext>
          </c:extLst>
        </c:ser>
        <c:ser>
          <c:idx val="2"/>
          <c:order val="3"/>
          <c:spPr>
            <a:ln w="3810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56</c:v>
                </c:pt>
                <c:pt idx="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7F-F64C-915A-59430E29FAD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7"/>
                <c:pt idx="0">
                  <c:v>137.66666666666669</c:v>
                </c:pt>
                <c:pt idx="1">
                  <c:v>112.66666666666669</c:v>
                </c:pt>
                <c:pt idx="2">
                  <c:v>87.666666666666686</c:v>
                </c:pt>
                <c:pt idx="3">
                  <c:v>62.666666666666686</c:v>
                </c:pt>
                <c:pt idx="4">
                  <c:v>37.666666666666686</c:v>
                </c:pt>
                <c:pt idx="5">
                  <c:v>12.666666666666686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7F-F64C-915A-59430E29FADA}"/>
            </c:ext>
          </c:extLst>
        </c:ser>
        <c:ser>
          <c:idx val="3"/>
          <c:order val="5"/>
          <c:tx>
            <c:v>Current Scope</c:v>
          </c:tx>
          <c:spPr>
            <a:ln w="3810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56</c:v>
                </c:pt>
                <c:pt idx="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87F-F64C-915A-59430E29F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004700095"/>
        <c:axId val="1"/>
      </c:lineChart>
      <c:catAx>
        <c:axId val="10047000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004700095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ES_tradnl"/>
              <a:t>Development Velocity</a:t>
            </a:r>
          </a:p>
        </c:rich>
      </c:tx>
      <c:layout>
        <c:manualLayout>
          <c:xMode val="edge"/>
          <c:yMode val="edge"/>
          <c:x val="0.30522049197944551"/>
          <c:y val="3.3583264778469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1940666306935327"/>
          <c:w val="0.89580945050447958"/>
          <c:h val="0.67912539620694679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5"/>
                <c:pt idx="0">
                  <c:v>23</c:v>
                </c:pt>
                <c:pt idx="1">
                  <c:v>29</c:v>
                </c:pt>
                <c:pt idx="2">
                  <c:v>31</c:v>
                </c:pt>
                <c:pt idx="3">
                  <c:v>28</c:v>
                </c:pt>
                <c:pt idx="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C-A740-9C0E-BCC3E3D05E81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5"/>
                <c:pt idx="0">
                  <c:v>23</c:v>
                </c:pt>
                <c:pt idx="1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BC-A740-9C0E-BCC3E3D0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01280767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BC-A740-9C0E-BCC3E3D05E81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BC-A740-9C0E-BCC3E3D05E81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BC-A740-9C0E-BCC3E3D0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1280767"/>
        <c:axId val="1"/>
      </c:lineChart>
      <c:catAx>
        <c:axId val="1001280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00128076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1166604794748052"/>
          <c:y val="0.87689270184510515"/>
          <c:w val="0.77173619116469006"/>
          <c:h val="0.104480843812433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9122459821029"/>
          <c:y val="0.10577346745368002"/>
          <c:w val="0.84046445099727352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Sp1!$F$10:$AD$10</c:f>
              <c:numCache>
                <c:formatCode>General</c:formatCode>
                <c:ptCount val="25"/>
                <c:pt idx="0">
                  <c:v>33</c:v>
                </c:pt>
                <c:pt idx="1">
                  <c:v>30</c:v>
                </c:pt>
                <c:pt idx="2">
                  <c:v>23</c:v>
                </c:pt>
                <c:pt idx="3">
                  <c:v>21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E-A046-A7B0-83BA512DF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2676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Sp1!$F$11:$AD$11</c:f>
              <c:numCache>
                <c:formatCode>General</c:formatCode>
                <c:ptCount val="25"/>
                <c:pt idx="0">
                  <c:v>33</c:v>
                </c:pt>
                <c:pt idx="1">
                  <c:v>26.4</c:v>
                </c:pt>
                <c:pt idx="2">
                  <c:v>19.8</c:v>
                </c:pt>
                <c:pt idx="3">
                  <c:v>13.200000000000003</c:v>
                </c:pt>
                <c:pt idx="4">
                  <c:v>6.6000000000000014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E-A046-A7B0-83BA512DF15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Sp1!$F$12:$AD$12</c:f>
              <c:numCache>
                <c:formatCode>General</c:formatCode>
                <c:ptCount val="25"/>
                <c:pt idx="0">
                  <c:v>33.200000000000003</c:v>
                </c:pt>
                <c:pt idx="1">
                  <c:v>28.9</c:v>
                </c:pt>
                <c:pt idx="2">
                  <c:v>24.599999999999998</c:v>
                </c:pt>
                <c:pt idx="3">
                  <c:v>20.299999999999997</c:v>
                </c:pt>
                <c:pt idx="4">
                  <c:v>15.999999999999996</c:v>
                </c:pt>
                <c:pt idx="5">
                  <c:v>11.699999999999996</c:v>
                </c:pt>
                <c:pt idx="6">
                  <c:v>7.399999999999995</c:v>
                </c:pt>
                <c:pt idx="7">
                  <c:v>3.0999999999999943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FE-A046-A7B0-83BA512DF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267647"/>
        <c:axId val="1"/>
      </c:lineChart>
      <c:catAx>
        <c:axId val="9632676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_tradn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302454276041318"/>
              <c:y val="0.153852210781344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9632676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7.3083525947807079E-3"/>
          <c:y val="0.11538915808600848"/>
          <c:w val="9.6227090066847598E-2"/>
          <c:h val="0.355783615990308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B-6946-BE9E-2E33ACF0C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279295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3B-6946-BE9E-2E33ACF0CACA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3B-6946-BE9E-2E33ACF0C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279295"/>
        <c:axId val="1"/>
      </c:lineChart>
      <c:catAx>
        <c:axId val="963279295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_tradn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302454276041318"/>
              <c:y val="0.153852210781344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963279295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7.3083525947807079E-3"/>
          <c:y val="0.11538915808600848"/>
          <c:w val="9.6227090066847598E-2"/>
          <c:h val="0.355783615990308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0</xdr:row>
          <xdr:rowOff>101600</xdr:rowOff>
        </xdr:from>
        <xdr:to>
          <xdr:col>6</xdr:col>
          <xdr:colOff>1041400</xdr:colOff>
          <xdr:row>1</xdr:row>
          <xdr:rowOff>88900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AB119631-C73C-455C-EF82-12A9027AB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_tradnl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190500</xdr:colOff>
      <xdr:row>1</xdr:row>
      <xdr:rowOff>50800</xdr:rowOff>
    </xdr:from>
    <xdr:to>
      <xdr:col>24</xdr:col>
      <xdr:colOff>596900</xdr:colOff>
      <xdr:row>19</xdr:row>
      <xdr:rowOff>139700</xdr:rowOff>
    </xdr:to>
    <xdr:graphicFrame macro="">
      <xdr:nvGraphicFramePr>
        <xdr:cNvPr id="18590" name="Chart 2">
          <a:extLst>
            <a:ext uri="{FF2B5EF4-FFF2-40B4-BE49-F238E27FC236}">
              <a16:creationId xmlns:a16="http://schemas.microsoft.com/office/drawing/2014/main" id="{3C2AA907-8B01-15BB-24CF-C9A125160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203200</xdr:colOff>
      <xdr:row>20</xdr:row>
      <xdr:rowOff>50800</xdr:rowOff>
    </xdr:from>
    <xdr:to>
      <xdr:col>24</xdr:col>
      <xdr:colOff>609600</xdr:colOff>
      <xdr:row>39</xdr:row>
      <xdr:rowOff>127000</xdr:rowOff>
    </xdr:to>
    <xdr:graphicFrame macro="">
      <xdr:nvGraphicFramePr>
        <xdr:cNvPr id="18591" name="Chart 17">
          <a:extLst>
            <a:ext uri="{FF2B5EF4-FFF2-40B4-BE49-F238E27FC236}">
              <a16:creationId xmlns:a16="http://schemas.microsoft.com/office/drawing/2014/main" id="{C53AC1DB-9CD8-D7EB-7254-FBB0164A22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558800</xdr:colOff>
      <xdr:row>0</xdr:row>
      <xdr:rowOff>38100</xdr:rowOff>
    </xdr:from>
    <xdr:to>
      <xdr:col>30</xdr:col>
      <xdr:colOff>50800</xdr:colOff>
      <xdr:row>7</xdr:row>
      <xdr:rowOff>139700</xdr:rowOff>
    </xdr:to>
    <xdr:graphicFrame macro="">
      <xdr:nvGraphicFramePr>
        <xdr:cNvPr id="17487" name="Chart 2">
          <a:extLst>
            <a:ext uri="{FF2B5EF4-FFF2-40B4-BE49-F238E27FC236}">
              <a16:creationId xmlns:a16="http://schemas.microsoft.com/office/drawing/2014/main" id="{B35A3EE9-69B3-23A8-2ACD-F23E0EE25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88900</xdr:rowOff>
        </xdr:from>
        <xdr:to>
          <xdr:col>0</xdr:col>
          <xdr:colOff>2298700</xdr:colOff>
          <xdr:row>7</xdr:row>
          <xdr:rowOff>25400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34C82586-BE45-632B-88FA-3CCFCDAF9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_tradnl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2578100</xdr:colOff>
          <xdr:row>5</xdr:row>
          <xdr:rowOff>88900</xdr:rowOff>
        </xdr:from>
        <xdr:to>
          <xdr:col>2</xdr:col>
          <xdr:colOff>342900</xdr:colOff>
          <xdr:row>7</xdr:row>
          <xdr:rowOff>25400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FE00CFCF-46F0-F657-48B5-69CF4680F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_tradnl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558800</xdr:colOff>
      <xdr:row>0</xdr:row>
      <xdr:rowOff>38100</xdr:rowOff>
    </xdr:from>
    <xdr:to>
      <xdr:col>30</xdr:col>
      <xdr:colOff>50800</xdr:colOff>
      <xdr:row>7</xdr:row>
      <xdr:rowOff>139700</xdr:rowOff>
    </xdr:to>
    <xdr:graphicFrame macro="">
      <xdr:nvGraphicFramePr>
        <xdr:cNvPr id="14421" name="Chart 2">
          <a:extLst>
            <a:ext uri="{FF2B5EF4-FFF2-40B4-BE49-F238E27FC236}">
              <a16:creationId xmlns:a16="http://schemas.microsoft.com/office/drawing/2014/main" id="{43E9FEA5-2E85-3965-EC2B-AEC2FE2D8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88900</xdr:rowOff>
        </xdr:from>
        <xdr:to>
          <xdr:col>0</xdr:col>
          <xdr:colOff>1968500</xdr:colOff>
          <xdr:row>7</xdr:row>
          <xdr:rowOff>25400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BCB086BC-41D1-D576-4C44-371B66829F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_tradnl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2286000</xdr:colOff>
          <xdr:row>5</xdr:row>
          <xdr:rowOff>88900</xdr:rowOff>
        </xdr:from>
        <xdr:to>
          <xdr:col>2</xdr:col>
          <xdr:colOff>254000</xdr:colOff>
          <xdr:row>7</xdr:row>
          <xdr:rowOff>25400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4E351A14-DEE3-546E-347D-41359FD4AE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_tradnl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E780E-F29E-BD4C-B9B7-AAAFE4593037}">
  <sheetPr codeName="Sheet1"/>
  <dimension ref="A1:J31"/>
  <sheetViews>
    <sheetView tabSelected="1" workbookViewId="0">
      <selection activeCell="B18" sqref="B18:B20"/>
    </sheetView>
  </sheetViews>
  <sheetFormatPr baseColWidth="10" defaultColWidth="8.83203125" defaultRowHeight="13" x14ac:dyDescent="0.15"/>
  <cols>
    <col min="1" max="1" width="7.83203125" customWidth="1"/>
    <col min="2" max="2" width="10.5" customWidth="1"/>
    <col min="3" max="3" width="9.5" customWidth="1"/>
    <col min="4" max="5" width="10.6640625" customWidth="1"/>
    <col min="6" max="6" width="8.83203125" customWidth="1"/>
    <col min="7" max="7" width="13.6640625" style="2" customWidth="1"/>
    <col min="8" max="8" width="59.1640625" customWidth="1"/>
    <col min="9" max="9" width="10.6640625" customWidth="1"/>
  </cols>
  <sheetData>
    <row r="1" spans="1:10" ht="18" x14ac:dyDescent="0.2">
      <c r="A1" s="15" t="s">
        <v>15</v>
      </c>
    </row>
    <row r="3" spans="1:10" x14ac:dyDescent="0.15">
      <c r="A3" s="9" t="s">
        <v>16</v>
      </c>
      <c r="B3" s="47" t="s">
        <v>1</v>
      </c>
      <c r="C3" s="48" t="s">
        <v>30</v>
      </c>
      <c r="D3" s="48" t="s">
        <v>2</v>
      </c>
      <c r="E3" s="47" t="s">
        <v>18</v>
      </c>
      <c r="F3" s="10" t="s">
        <v>3</v>
      </c>
      <c r="G3" s="47" t="s">
        <v>4</v>
      </c>
      <c r="H3" s="11" t="s">
        <v>0</v>
      </c>
      <c r="I3" s="1"/>
      <c r="J3" s="1"/>
    </row>
    <row r="4" spans="1:10" x14ac:dyDescent="0.15">
      <c r="A4" s="12">
        <v>1</v>
      </c>
      <c r="B4" s="44">
        <f>IF(OR(B16="",A4=""),"",B16)</f>
        <v>38881</v>
      </c>
      <c r="C4" s="25">
        <f t="shared" ref="C4:C10" si="0">IF(A4="","",SUMIF(I$16:I$30,A4,C$16:C$30))</f>
        <v>42</v>
      </c>
      <c r="D4" s="44">
        <f>IF(OR(B4="",C4=""),"",B4+C4-1)</f>
        <v>38922</v>
      </c>
      <c r="E4" s="22">
        <f>IF(A4="","",SUMIF(I$16:I$30,'Release Plan'!A4,E$16:E$30))</f>
        <v>19</v>
      </c>
      <c r="F4" s="4"/>
      <c r="G4" s="49"/>
      <c r="H4" s="6"/>
    </row>
    <row r="5" spans="1:10" x14ac:dyDescent="0.15">
      <c r="A5" s="13">
        <v>2</v>
      </c>
      <c r="B5" s="41">
        <f>IF(A5="","",B4+C4)</f>
        <v>38923</v>
      </c>
      <c r="C5" s="22">
        <f t="shared" si="0"/>
        <v>42</v>
      </c>
      <c r="D5" s="41">
        <f t="shared" ref="D5:D10" si="1">IF(OR(B5="",C5=""),"",B5+C5-1)</f>
        <v>38964</v>
      </c>
      <c r="E5" s="22">
        <f>IF(A5="","",SUMIF(I$16:I$30,'Release Plan'!A5,E$16:E$30))</f>
        <v>0</v>
      </c>
      <c r="F5" s="4"/>
      <c r="G5" s="50"/>
      <c r="H5" s="7"/>
    </row>
    <row r="6" spans="1:10" x14ac:dyDescent="0.15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15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15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15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15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15">
      <c r="A11" s="38" t="s">
        <v>31</v>
      </c>
    </row>
    <row r="13" spans="1:10" ht="18" x14ac:dyDescent="0.2">
      <c r="A13" s="15" t="s">
        <v>14</v>
      </c>
    </row>
    <row r="15" spans="1:10" x14ac:dyDescent="0.15">
      <c r="A15" s="9" t="s">
        <v>13</v>
      </c>
      <c r="B15" s="47" t="s">
        <v>1</v>
      </c>
      <c r="C15" s="47" t="s">
        <v>30</v>
      </c>
      <c r="D15" s="47" t="s">
        <v>2</v>
      </c>
      <c r="E15" s="47" t="s">
        <v>18</v>
      </c>
      <c r="F15" s="10" t="s">
        <v>3</v>
      </c>
      <c r="G15" s="47" t="s">
        <v>4</v>
      </c>
      <c r="H15" s="75" t="s">
        <v>0</v>
      </c>
      <c r="I15" s="53" t="s">
        <v>32</v>
      </c>
      <c r="J15" s="1"/>
    </row>
    <row r="16" spans="1:10" x14ac:dyDescent="0.15">
      <c r="A16" s="22">
        <v>1</v>
      </c>
      <c r="B16" s="79">
        <v>38881</v>
      </c>
      <c r="C16" s="27">
        <v>14</v>
      </c>
      <c r="D16" s="26">
        <f t="shared" ref="D16:D30" si="2">IF(AND(B16&lt;&gt;"",C16&lt;&gt;""),B16+C16-1,"")</f>
        <v>38894</v>
      </c>
      <c r="E16" s="22">
        <f>IF(A16="","",SUMIF('Product Backlog'!E$5:E$103,'Release Plan'!A16,'Product Backlog'!D$5:D$103))</f>
        <v>8</v>
      </c>
      <c r="F16" s="4" t="s">
        <v>19</v>
      </c>
      <c r="G16" s="27"/>
      <c r="H16" s="28" t="s">
        <v>77</v>
      </c>
      <c r="I16" s="74">
        <v>1</v>
      </c>
    </row>
    <row r="17" spans="1:9" x14ac:dyDescent="0.15">
      <c r="A17" s="22">
        <v>2</v>
      </c>
      <c r="B17" s="26">
        <f>IF(AND(B16&lt;&gt;"",C16&lt;&gt;"",C17&lt;&gt;""),B16+C16,"")</f>
        <v>38895</v>
      </c>
      <c r="C17" s="27">
        <v>14</v>
      </c>
      <c r="D17" s="26">
        <f>IF(AND(B17&lt;&gt;"",C17&lt;&gt;""),B17+C17-1,"")</f>
        <v>38908</v>
      </c>
      <c r="E17" s="22">
        <f>IF(A17="","",SUMIF('Product Backlog'!E$5:E$103,'Release Plan'!A17,'Product Backlog'!D$5:D$103))</f>
        <v>3</v>
      </c>
      <c r="F17" s="4" t="s">
        <v>19</v>
      </c>
      <c r="G17" s="27"/>
      <c r="H17" s="29" t="s">
        <v>73</v>
      </c>
      <c r="I17" s="39">
        <v>1</v>
      </c>
    </row>
    <row r="18" spans="1:9" x14ac:dyDescent="0.15">
      <c r="A18" s="22">
        <v>3</v>
      </c>
      <c r="B18" s="26">
        <f>IF(AND(B17&lt;&gt;"",C17&lt;&gt;"",C18&lt;&gt;""),B17+C17,"")</f>
        <v>38909</v>
      </c>
      <c r="C18" s="27">
        <v>14</v>
      </c>
      <c r="D18" s="26">
        <f>IF(AND(B18&lt;&gt;"",C18&lt;&gt;""),B18+C18-1,"")</f>
        <v>38922</v>
      </c>
      <c r="E18" s="22">
        <f>IF(A18="","",SUMIF('Product Backlog'!E$5:E$103,'Release Plan'!A18,'Product Backlog'!D$5:D$103))</f>
        <v>8</v>
      </c>
      <c r="F18" s="4" t="str">
        <f>IF(AND(OR(F17="Planned",F17="Ongoing"),C18&lt;&gt;""),"Planned","Unplanned")</f>
        <v>Planned</v>
      </c>
      <c r="G18" s="27"/>
      <c r="H18" s="29" t="s">
        <v>73</v>
      </c>
      <c r="I18" s="39">
        <v>1</v>
      </c>
    </row>
    <row r="19" spans="1:9" x14ac:dyDescent="0.15">
      <c r="A19" s="22">
        <v>4</v>
      </c>
      <c r="B19" s="26">
        <f>IF(AND(B18&lt;&gt;"",C18&lt;&gt;"",C19&lt;&gt;""),B18+C18,"")</f>
        <v>38923</v>
      </c>
      <c r="C19" s="27">
        <v>14</v>
      </c>
      <c r="D19" s="26">
        <f>IF(AND(B19&lt;&gt;"",C19&lt;&gt;""),B19+C19-1,"")</f>
        <v>38936</v>
      </c>
      <c r="E19" s="22">
        <f>IF(A19="","",SUMIF('Product Backlog'!E$5:E$103,'Release Plan'!A19,'Product Backlog'!D$5:D$103))</f>
        <v>0</v>
      </c>
      <c r="F19" s="4" t="str">
        <f>IF(AND(OR(F18="Planned",F18="Ongoing"),C19&lt;&gt;""),"Planned","Unplanned")</f>
        <v>Planned</v>
      </c>
      <c r="G19" s="27"/>
      <c r="H19" s="29" t="s">
        <v>73</v>
      </c>
      <c r="I19" s="39">
        <v>2</v>
      </c>
    </row>
    <row r="20" spans="1:9" x14ac:dyDescent="0.15">
      <c r="A20" s="22">
        <v>5</v>
      </c>
      <c r="B20" s="26">
        <f>IF(AND(B19&lt;&gt;"",C19&lt;&gt;"",C20&lt;&gt;""),B19+C19,"")</f>
        <v>38937</v>
      </c>
      <c r="C20" s="27">
        <v>14</v>
      </c>
      <c r="D20" s="26">
        <f>IF(AND(B20&lt;&gt;"",C20&lt;&gt;""),B20+C20-1,"")</f>
        <v>38950</v>
      </c>
      <c r="E20" s="22">
        <f>IF(A20="","",SUMIF('Product Backlog'!E$5:E$103,'Release Plan'!A20,'Product Backlog'!D$5:D$103))</f>
        <v>0</v>
      </c>
      <c r="F20" s="4" t="str">
        <f>IF(AND(OR(F19="Planned",F19="Ongoing"),C20&lt;&gt;""),"Planned","Unplanned")</f>
        <v>Planned</v>
      </c>
      <c r="G20" s="27"/>
      <c r="H20" s="29" t="s">
        <v>74</v>
      </c>
      <c r="I20" s="39">
        <v>2</v>
      </c>
    </row>
    <row r="21" spans="1:9" x14ac:dyDescent="0.15">
      <c r="A21" s="22">
        <v>6</v>
      </c>
      <c r="B21" s="26">
        <f>IF(AND(B20&lt;&gt;"",C20&lt;&gt;"",C21&lt;&gt;""),B20+C20,"")</f>
        <v>38951</v>
      </c>
      <c r="C21" s="27">
        <v>14</v>
      </c>
      <c r="D21" s="26">
        <f>IF(AND(B21&lt;&gt;"",C21&lt;&gt;""),B21+C21-1,"")</f>
        <v>38964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75</v>
      </c>
      <c r="I21" s="39">
        <v>2</v>
      </c>
    </row>
    <row r="22" spans="1:9" x14ac:dyDescent="0.15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15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9"/>
    </row>
    <row r="24" spans="1:9" x14ac:dyDescent="0.15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9"/>
    </row>
    <row r="25" spans="1:9" x14ac:dyDescent="0.15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9"/>
    </row>
    <row r="26" spans="1:9" x14ac:dyDescent="0.15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9"/>
    </row>
    <row r="27" spans="1:9" x14ac:dyDescent="0.15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9"/>
    </row>
    <row r="28" spans="1:9" x14ac:dyDescent="0.15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9"/>
    </row>
    <row r="29" spans="1:9" x14ac:dyDescent="0.15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9"/>
    </row>
    <row r="30" spans="1:9" x14ac:dyDescent="0.15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40"/>
    </row>
    <row r="31" spans="1:9" x14ac:dyDescent="0.15">
      <c r="A31" s="23"/>
      <c r="B31" s="23"/>
      <c r="C31" s="23"/>
      <c r="D31" s="24" t="s">
        <v>20</v>
      </c>
      <c r="E31" s="25">
        <f>SUMIF('Product Backlog'!E$6:E$103,"",'Product Backlog'!D$6:D$103)-SUMIF('Product Backlog'!C$6:C$103,"Removed",'Product Backlog'!D$6:D$103)</f>
        <v>13</v>
      </c>
      <c r="F31" s="23"/>
      <c r="G31" s="52"/>
      <c r="H31" s="23"/>
    </row>
  </sheetData>
  <phoneticPr fontId="2" type="noConversion"/>
  <conditionalFormatting sqref="G4:H10 E31 E5:E10 A4:D10">
    <cfRule type="expression" dxfId="27" priority="1" stopIfTrue="1">
      <formula>$F4="Planned"</formula>
    </cfRule>
    <cfRule type="expression" dxfId="26" priority="2" stopIfTrue="1">
      <formula>$F4="Ongoing"</formula>
    </cfRule>
  </conditionalFormatting>
  <conditionalFormatting sqref="F4:F10 F16:F30">
    <cfRule type="expression" dxfId="25" priority="3" stopIfTrue="1">
      <formula>$F4="Planned"</formula>
    </cfRule>
    <cfRule type="expression" dxfId="24" priority="4" stopIfTrue="1">
      <formula>$F4="Ongoing"</formula>
    </cfRule>
    <cfRule type="cellIs" dxfId="23" priority="5" stopIfTrue="1" operator="equal">
      <formula>"Unplanned"</formula>
    </cfRule>
  </conditionalFormatting>
  <conditionalFormatting sqref="E4 G16:H30 A16:E30">
    <cfRule type="expression" dxfId="22" priority="6" stopIfTrue="1">
      <formula>OR($F4="Planned",$F4="Unplanned")</formula>
    </cfRule>
    <cfRule type="expression" dxfId="21" priority="7" stopIfTrue="1">
      <formula>$F4="Ongoing"</formula>
    </cfRule>
  </conditionalFormatting>
  <dataValidations count="1">
    <dataValidation type="list" allowBlank="1" showInputMessage="1" showErrorMessage="1" sqref="F4:F10 F16:F30" xr:uid="{41FAA2C0-0875-7049-A503-79B7F0E9E09C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66A91-B7F3-4D4A-94AC-230105B1498E}">
  <sheetPr codeName="Sheet2">
    <pageSetUpPr fitToPage="1"/>
  </sheetPr>
  <dimension ref="A1:J53"/>
  <sheetViews>
    <sheetView workbookViewId="0">
      <pane ySplit="4" topLeftCell="A5" activePane="bottomLeft" state="frozen"/>
      <selection pane="bottomLeft" activeCell="E42" sqref="E42"/>
    </sheetView>
  </sheetViews>
  <sheetFormatPr baseColWidth="10" defaultColWidth="9.1640625" defaultRowHeight="13" x14ac:dyDescent="0.15"/>
  <cols>
    <col min="1" max="1" width="9.1640625" style="34"/>
    <col min="2" max="2" width="39.33203125" style="32" customWidth="1"/>
    <col min="3" max="3" width="10.83203125" style="34" customWidth="1"/>
    <col min="4" max="6" width="9.1640625" style="34"/>
    <col min="7" max="7" width="39.5" style="32" customWidth="1"/>
    <col min="8" max="16384" width="9.1640625" style="35"/>
  </cols>
  <sheetData>
    <row r="1" spans="1:7" ht="18" x14ac:dyDescent="0.15">
      <c r="A1" s="54" t="s">
        <v>5</v>
      </c>
      <c r="C1" s="33" t="s">
        <v>78</v>
      </c>
    </row>
    <row r="2" spans="1:7" x14ac:dyDescent="0.15">
      <c r="D2" s="78"/>
    </row>
    <row r="4" spans="1:7" ht="15" thickBot="1" x14ac:dyDescent="0.2">
      <c r="A4" s="45" t="s">
        <v>21</v>
      </c>
      <c r="B4" s="46" t="s">
        <v>6</v>
      </c>
      <c r="C4" s="45" t="s">
        <v>3</v>
      </c>
      <c r="D4" s="45" t="s">
        <v>18</v>
      </c>
      <c r="E4" s="45" t="s">
        <v>13</v>
      </c>
      <c r="F4" s="45" t="s">
        <v>76</v>
      </c>
      <c r="G4" s="46" t="s">
        <v>28</v>
      </c>
    </row>
    <row r="5" spans="1:7" ht="14" x14ac:dyDescent="0.15">
      <c r="A5" s="34">
        <v>1</v>
      </c>
      <c r="B5" s="32" t="s">
        <v>87</v>
      </c>
      <c r="C5" s="34" t="s">
        <v>79</v>
      </c>
      <c r="D5" s="34">
        <v>3</v>
      </c>
      <c r="E5" s="34">
        <v>1</v>
      </c>
    </row>
    <row r="6" spans="1:7" ht="42" x14ac:dyDescent="0.15">
      <c r="A6" s="34">
        <v>2</v>
      </c>
      <c r="B6" s="32" t="s">
        <v>88</v>
      </c>
      <c r="C6" s="34" t="s">
        <v>82</v>
      </c>
      <c r="D6" s="34">
        <v>5</v>
      </c>
      <c r="E6" s="34">
        <v>1</v>
      </c>
      <c r="G6" s="32" t="s">
        <v>89</v>
      </c>
    </row>
    <row r="7" spans="1:7" ht="14" x14ac:dyDescent="0.15">
      <c r="A7" s="34">
        <v>3</v>
      </c>
      <c r="B7" s="32" t="s">
        <v>90</v>
      </c>
      <c r="C7" s="34" t="s">
        <v>19</v>
      </c>
      <c r="D7" s="34">
        <v>3</v>
      </c>
      <c r="E7" s="34">
        <v>2</v>
      </c>
    </row>
    <row r="8" spans="1:7" ht="14" x14ac:dyDescent="0.15">
      <c r="A8" s="34">
        <v>4</v>
      </c>
      <c r="B8" s="32" t="s">
        <v>91</v>
      </c>
      <c r="C8" s="34" t="s">
        <v>19</v>
      </c>
      <c r="D8" s="34">
        <v>8</v>
      </c>
      <c r="E8" s="34">
        <v>3</v>
      </c>
    </row>
    <row r="9" spans="1:7" ht="14" x14ac:dyDescent="0.15">
      <c r="A9" s="34">
        <v>5</v>
      </c>
      <c r="B9" s="32" t="s">
        <v>92</v>
      </c>
      <c r="C9" s="34" t="s">
        <v>19</v>
      </c>
      <c r="D9" s="34">
        <v>13</v>
      </c>
    </row>
    <row r="10" spans="1:7" ht="26.25" customHeight="1" x14ac:dyDescent="0.15">
      <c r="A10" s="34">
        <v>6</v>
      </c>
      <c r="B10" s="32" t="s">
        <v>93</v>
      </c>
      <c r="C10" s="34" t="s">
        <v>94</v>
      </c>
      <c r="D10" s="34">
        <v>5</v>
      </c>
    </row>
    <row r="11" spans="1:7" ht="26.25" customHeight="1" x14ac:dyDescent="0.15"/>
    <row r="29" spans="2:2" x14ac:dyDescent="0.15">
      <c r="B29" s="35"/>
    </row>
    <row r="37" spans="5:10" x14ac:dyDescent="0.15">
      <c r="J37" s="76"/>
    </row>
    <row r="42" spans="5:10" x14ac:dyDescent="0.15">
      <c r="E42" s="102"/>
      <c r="G42" s="77"/>
    </row>
    <row r="53" spans="1:6" x14ac:dyDescent="0.15">
      <c r="A53" s="35"/>
      <c r="B53" s="35"/>
      <c r="C53" s="35"/>
      <c r="D53" s="35"/>
      <c r="E53" s="35"/>
      <c r="F53" s="35"/>
    </row>
  </sheetData>
  <phoneticPr fontId="2" type="noConversion"/>
  <conditionalFormatting sqref="G44:G52 C45:C46 A11:A52 G23:G41 B11:F44 A54:G163 B47:F52 G11:G21 A4:G10">
    <cfRule type="expression" dxfId="20" priority="1" stopIfTrue="1">
      <formula>$C4="Done"</formula>
    </cfRule>
    <cfRule type="expression" dxfId="19" priority="2" stopIfTrue="1">
      <formula>$C4="Ongoing"</formula>
    </cfRule>
    <cfRule type="expression" dxfId="18" priority="3" stopIfTrue="1">
      <formula>$C4="Removed"</formula>
    </cfRule>
  </conditionalFormatting>
  <conditionalFormatting sqref="G53">
    <cfRule type="expression" dxfId="17" priority="4" stopIfTrue="1">
      <formula>$C43="Done"</formula>
    </cfRule>
    <cfRule type="expression" dxfId="16" priority="5" stopIfTrue="1">
      <formula>$C43="Ongoing"</formula>
    </cfRule>
    <cfRule type="expression" dxfId="15" priority="6" stopIfTrue="1">
      <formula>$C43="Removed"</formula>
    </cfRule>
  </conditionalFormatting>
  <conditionalFormatting sqref="G42:G43">
    <cfRule type="expression" dxfId="14" priority="7" stopIfTrue="1">
      <formula>#REF!="Done"</formula>
    </cfRule>
    <cfRule type="expression" dxfId="13" priority="8" stopIfTrue="1">
      <formula>#REF!="Ongoing"</formula>
    </cfRule>
    <cfRule type="expression" dxfId="12" priority="9" stopIfTrue="1">
      <formula>#REF!="Removed"</formula>
    </cfRule>
  </conditionalFormatting>
  <conditionalFormatting sqref="G22">
    <cfRule type="expression" dxfId="11" priority="10" stopIfTrue="1">
      <formula>#REF!="Done"</formula>
    </cfRule>
    <cfRule type="expression" dxfId="10" priority="11" stopIfTrue="1">
      <formula>#REF!="Ongoing"</formula>
    </cfRule>
    <cfRule type="expression" dxfId="9" priority="12" stopIfTrue="1">
      <formula>#REF!="Removed"</formula>
    </cfRule>
  </conditionalFormatting>
  <dataValidations count="1">
    <dataValidation type="list" allowBlank="1" showInputMessage="1" sqref="C54:C163 C4 C6:C52" xr:uid="{7156F09A-7068-4446-AEEA-2D20D98BE003}">
      <formula1>"Planned,Ongoing,Done,Removed"</formula1>
    </dataValidation>
  </dataValidations>
  <pageMargins left="0.75" right="0.75" top="1" bottom="1" header="0.5" footer="0.5"/>
  <pageSetup paperSize="9" scale="84" orientation="landscape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3" name="Button 4">
              <controlPr defaultSize="0" print="0" autoFill="0" autoPict="0" macro="[0]!SortProductBacklog">
                <anchor>
                  <from>
                    <xdr:col>4</xdr:col>
                    <xdr:colOff>76200</xdr:colOff>
                    <xdr:row>0</xdr:row>
                    <xdr:rowOff>101600</xdr:rowOff>
                  </from>
                  <to>
                    <xdr:col>6</xdr:col>
                    <xdr:colOff>1041400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DB43D-68E3-CE45-985B-68FB2C36AFD0}">
  <sheetPr codeName="Sheet3"/>
  <dimension ref="A1:Z51"/>
  <sheetViews>
    <sheetView workbookViewId="0">
      <selection activeCell="D3" sqref="D3"/>
    </sheetView>
  </sheetViews>
  <sheetFormatPr baseColWidth="10" defaultColWidth="8.83203125" defaultRowHeight="13" x14ac:dyDescent="0.15"/>
  <cols>
    <col min="1" max="1" width="11.83203125" customWidth="1"/>
    <col min="2" max="4" width="8.83203125" customWidth="1"/>
    <col min="5" max="5" width="14.5" customWidth="1"/>
    <col min="6" max="6" width="15.6640625" hidden="1" customWidth="1"/>
    <col min="7" max="8" width="5.5" hidden="1" customWidth="1"/>
    <col min="9" max="9" width="7.33203125" hidden="1" customWidth="1"/>
    <col min="10" max="10" width="4.33203125" hidden="1" customWidth="1"/>
    <col min="11" max="13" width="6.83203125" hidden="1" customWidth="1"/>
    <col min="14" max="16" width="9.1640625" hidden="1" customWidth="1"/>
    <col min="17" max="17" width="10.5" hidden="1" customWidth="1"/>
  </cols>
  <sheetData>
    <row r="1" spans="1:26" ht="18" x14ac:dyDescent="0.15">
      <c r="A1" s="54" t="s">
        <v>33</v>
      </c>
    </row>
    <row r="3" spans="1:26" x14ac:dyDescent="0.15">
      <c r="A3" t="s">
        <v>37</v>
      </c>
      <c r="D3">
        <v>137</v>
      </c>
      <c r="F3" t="s">
        <v>39</v>
      </c>
      <c r="G3" s="55">
        <f>IF(COUNT(B28:B39)=0,1,COUNT(B28:B39))</f>
        <v>5</v>
      </c>
    </row>
    <row r="4" spans="1:26" x14ac:dyDescent="0.15">
      <c r="A4" t="s">
        <v>40</v>
      </c>
      <c r="D4">
        <v>3</v>
      </c>
      <c r="E4" t="s">
        <v>41</v>
      </c>
      <c r="F4" t="s">
        <v>58</v>
      </c>
      <c r="G4" s="55">
        <f>IF(COUNT(D28:D51)=0,1,COUNT(D28:D51)+1)</f>
        <v>3</v>
      </c>
    </row>
    <row r="5" spans="1:26" x14ac:dyDescent="0.15">
      <c r="F5" t="s">
        <v>42</v>
      </c>
      <c r="G5" s="55">
        <f>IF(G4&gt;D4,G4-D4,0)</f>
        <v>0</v>
      </c>
      <c r="Z5" s="38" t="s">
        <v>95</v>
      </c>
    </row>
    <row r="6" spans="1:26" x14ac:dyDescent="0.15">
      <c r="A6" s="1" t="s">
        <v>72</v>
      </c>
      <c r="F6" t="s">
        <v>43</v>
      </c>
      <c r="G6" s="55">
        <f>TrendSprintCount-TrendOffset</f>
        <v>3</v>
      </c>
      <c r="Z6" s="38" t="s">
        <v>96</v>
      </c>
    </row>
    <row r="7" spans="1:26" x14ac:dyDescent="0.15">
      <c r="A7" t="s">
        <v>46</v>
      </c>
      <c r="D7">
        <v>30</v>
      </c>
      <c r="Z7" s="38" t="s">
        <v>99</v>
      </c>
    </row>
    <row r="8" spans="1:26" x14ac:dyDescent="0.15">
      <c r="A8" s="120">
        <f>D$4</f>
        <v>3</v>
      </c>
      <c r="B8" s="120"/>
      <c r="D8" s="58">
        <f ca="1">IF(D28="","",AVERAGE(OFFSET(D27,TrendOffset,0,SprintsInTrend,1)))</f>
        <v>25</v>
      </c>
      <c r="Z8" s="38" t="s">
        <v>100</v>
      </c>
    </row>
    <row r="9" spans="1:26" x14ac:dyDescent="0.15">
      <c r="A9" t="s">
        <v>59</v>
      </c>
      <c r="D9" s="58">
        <f ca="1">IF(D28="","",AVERAGE(OFFSET(D27,1,0,SprintCount,1)))</f>
        <v>25</v>
      </c>
      <c r="F9" t="s">
        <v>51</v>
      </c>
      <c r="G9" s="55">
        <f ca="1">IF(M28="",1,COUNT(M28:M110))</f>
        <v>7</v>
      </c>
      <c r="Z9" s="38" t="s">
        <v>101</v>
      </c>
    </row>
    <row r="10" spans="1:26" x14ac:dyDescent="0.15">
      <c r="A10" t="s">
        <v>48</v>
      </c>
      <c r="D10" s="58">
        <f ca="1">IF(D28="","",AVERAGE(LastEight))</f>
        <v>25</v>
      </c>
      <c r="Z10" s="38" t="s">
        <v>97</v>
      </c>
    </row>
    <row r="11" spans="1:26" x14ac:dyDescent="0.15">
      <c r="A11" t="s">
        <v>49</v>
      </c>
      <c r="D11" s="58">
        <f ca="1">IF(D28="","",IF(TrendSprintCount&lt;4,D10,AVERAGE(SMALL(LastEight,1),SMALL(LastEight,2),SMALL(LastEight,3))))</f>
        <v>25</v>
      </c>
      <c r="Z11" s="38" t="s">
        <v>98</v>
      </c>
    </row>
    <row r="12" spans="1:26" x14ac:dyDescent="0.15">
      <c r="A12" t="s">
        <v>24</v>
      </c>
      <c r="D12" s="58">
        <f ca="1">IF(M29="","",M28-M29)</f>
        <v>25</v>
      </c>
      <c r="Z12" s="38" t="s">
        <v>102</v>
      </c>
    </row>
    <row r="13" spans="1:26" x14ac:dyDescent="0.15">
      <c r="F13" s="56" t="s">
        <v>52</v>
      </c>
      <c r="Z13" s="38" t="s">
        <v>103</v>
      </c>
    </row>
    <row r="14" spans="1:26" x14ac:dyDescent="0.15">
      <c r="A14" s="1" t="s">
        <v>53</v>
      </c>
    </row>
    <row r="15" spans="1:26" x14ac:dyDescent="0.15">
      <c r="A15" t="s">
        <v>54</v>
      </c>
      <c r="D15" s="59">
        <f>IF(D7="",0,ROUNDUP(D3/D7*0.6,0))</f>
        <v>3</v>
      </c>
    </row>
    <row r="16" spans="1:26" x14ac:dyDescent="0.15">
      <c r="A16" t="s">
        <v>56</v>
      </c>
      <c r="D16" s="59">
        <f>IF(D7="",0,ROUNDUP(D3/D7,0))</f>
        <v>5</v>
      </c>
    </row>
    <row r="17" spans="1:17" x14ac:dyDescent="0.15">
      <c r="A17" t="s">
        <v>55</v>
      </c>
      <c r="D17" s="59">
        <f>IF(D7="",0,ROUNDUP(D3/D7*1.6,0))</f>
        <v>8</v>
      </c>
      <c r="F17" t="s">
        <v>60</v>
      </c>
      <c r="G17">
        <f>IF(OR(D28="",D29=""),1,STDEV(D28:D51))</f>
        <v>2.8284271247461903</v>
      </c>
    </row>
    <row r="18" spans="1:17" x14ac:dyDescent="0.15">
      <c r="A18" s="120">
        <f>D$4</f>
        <v>3</v>
      </c>
      <c r="B18" s="120"/>
      <c r="D18" s="59">
        <f ca="1">IF(D8="","",IF(LastRealized="",ROUNDUP(LastPlanned/D8,0)+SprintCount-1,ROUNDUP((LastPlanned-LastRealized)/D8+SprintCount,0)))</f>
        <v>6</v>
      </c>
    </row>
    <row r="19" spans="1:17" x14ac:dyDescent="0.15">
      <c r="A19" t="s">
        <v>47</v>
      </c>
      <c r="D19" s="59">
        <f ca="1">IF(D9="","",IF(LastRealized="",ROUNDUP(LastPlanned/D9+SprintCount-1,0),ROUNDUP((LastPlanned-LastRealized)/D9,0)+SprintCount))</f>
        <v>6</v>
      </c>
      <c r="F19" t="s">
        <v>63</v>
      </c>
      <c r="G19">
        <f ca="1">LastPlanned</f>
        <v>28</v>
      </c>
    </row>
    <row r="20" spans="1:17" x14ac:dyDescent="0.15">
      <c r="A20" t="s">
        <v>48</v>
      </c>
      <c r="D20" s="59">
        <f ca="1">IF(D10="","",IF(LastRealized="",ROUNDUP(LastPlanned/D10+SprintCount-1,0),ROUNDUP((LastPlanned-LastRealized)/D10,0)+SprintCount))</f>
        <v>6</v>
      </c>
      <c r="F20" t="s">
        <v>64</v>
      </c>
      <c r="G20">
        <f ca="1">LastRealized</f>
        <v>0</v>
      </c>
    </row>
    <row r="21" spans="1:17" x14ac:dyDescent="0.15">
      <c r="A21" t="s">
        <v>49</v>
      </c>
      <c r="D21" s="59">
        <f ca="1">IF(D11="","",IF(LastRealized="",ROUNDUP(LastPlanned/D11+SprintCount-1,0),ROUNDUP((LastPlanned-LastRealized)/D11,0)+SprintCount))</f>
        <v>6</v>
      </c>
    </row>
    <row r="22" spans="1:17" x14ac:dyDescent="0.15">
      <c r="A22" t="s">
        <v>24</v>
      </c>
      <c r="D22" s="59">
        <f ca="1">IF(COUNT(M28:M51)-1&gt;0,COUNT(M28:M51)-1,"")</f>
        <v>6</v>
      </c>
    </row>
    <row r="23" spans="1:17" x14ac:dyDescent="0.15">
      <c r="A23" t="s">
        <v>61</v>
      </c>
      <c r="D23" s="59">
        <f ca="1">IF(D9="","",IF(LastRealized="",ROUNDUP(LastPlanned/(D9+G17)+SprintCount-1,0),ROUNDUP((LastPlanned-LastRealized)/(D9+G17)+SprintCount,0)))</f>
        <v>6</v>
      </c>
    </row>
    <row r="24" spans="1:17" x14ac:dyDescent="0.15">
      <c r="A24" t="s">
        <v>62</v>
      </c>
      <c r="D24" s="59">
        <f ca="1">IF(D9="","",IF(LastRealized="",ROUNDUP(LastPlanned/(D9-G17)+SprintCount-1,0),ROUNDUP((LastPlanned-LastRealized)/(D9-G17)+SprintCount,0)))</f>
        <v>6</v>
      </c>
    </row>
    <row r="26" spans="1:17" ht="12.75" customHeight="1" x14ac:dyDescent="0.15">
      <c r="F26" s="122" t="s">
        <v>24</v>
      </c>
      <c r="G26" s="122"/>
      <c r="H26" s="122"/>
      <c r="I26" s="122"/>
      <c r="J26" s="122"/>
      <c r="K26" s="122"/>
      <c r="L26" s="122"/>
      <c r="M26" s="122"/>
      <c r="N26" s="122"/>
      <c r="O26" s="122" t="s">
        <v>69</v>
      </c>
      <c r="P26" s="122"/>
      <c r="Q26" s="122"/>
    </row>
    <row r="27" spans="1:17" s="3" customFormat="1" ht="29" thickBot="1" x14ac:dyDescent="0.2">
      <c r="A27" s="60" t="s">
        <v>13</v>
      </c>
      <c r="B27" s="61" t="s">
        <v>65</v>
      </c>
      <c r="C27" s="61" t="s">
        <v>66</v>
      </c>
      <c r="D27" s="62" t="s">
        <v>67</v>
      </c>
      <c r="E27" s="62" t="s">
        <v>68</v>
      </c>
      <c r="F27" s="63" t="s">
        <v>35</v>
      </c>
      <c r="G27" s="121" t="s">
        <v>38</v>
      </c>
      <c r="H27" s="121"/>
      <c r="I27" s="63" t="s">
        <v>36</v>
      </c>
      <c r="J27" s="64"/>
      <c r="K27" s="63" t="s">
        <v>57</v>
      </c>
      <c r="L27" s="63" t="s">
        <v>50</v>
      </c>
      <c r="M27" s="63" t="s">
        <v>45</v>
      </c>
      <c r="N27" s="65" t="s">
        <v>44</v>
      </c>
      <c r="O27" s="63" t="s">
        <v>34</v>
      </c>
      <c r="P27" s="63" t="s">
        <v>70</v>
      </c>
      <c r="Q27" s="63" t="s">
        <v>71</v>
      </c>
    </row>
    <row r="28" spans="1:17" x14ac:dyDescent="0.15">
      <c r="A28" s="57">
        <v>1</v>
      </c>
      <c r="B28" s="2">
        <f>D3</f>
        <v>137</v>
      </c>
      <c r="C28" s="2">
        <v>23</v>
      </c>
      <c r="D28" s="2">
        <v>23</v>
      </c>
      <c r="E28" s="57">
        <f>B28</f>
        <v>137</v>
      </c>
      <c r="F28" s="55">
        <f>B28</f>
        <v>137</v>
      </c>
      <c r="G28" s="55">
        <f t="shared" ref="G28:G51" si="0">F28</f>
        <v>137</v>
      </c>
      <c r="H28" s="55">
        <f t="shared" ref="H28:H33" si="1">I28</f>
        <v>0</v>
      </c>
      <c r="I28" s="55">
        <v>0</v>
      </c>
      <c r="K28">
        <f t="shared" ref="K28:K33" si="2">IF(F28&lt;I28,I28,F28)</f>
        <v>137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137.66666666666669</v>
      </c>
      <c r="M28" s="55">
        <f ca="1">L28</f>
        <v>137.66666666666669</v>
      </c>
      <c r="N28" s="55">
        <f t="shared" ref="N28:N51" ca="1" si="4">OFFSET($I$27,TrendSprintCount,0,1,1)</f>
        <v>0</v>
      </c>
      <c r="O28" s="66">
        <f t="shared" ref="O28:O51" ca="1" si="5">D$9</f>
        <v>25</v>
      </c>
      <c r="P28" s="66">
        <f t="shared" ref="P28:P51" ca="1" si="6">D$10</f>
        <v>25</v>
      </c>
      <c r="Q28" s="66">
        <f t="shared" ref="Q28:Q51" ca="1" si="7">D$11</f>
        <v>25</v>
      </c>
    </row>
    <row r="29" spans="1:17" x14ac:dyDescent="0.15">
      <c r="A29" s="57">
        <v>2</v>
      </c>
      <c r="B29" s="2">
        <f t="shared" ref="B29:B51" si="8">IF(OR(B28="",C28=""),"",IF(D28="",IF(B28-C28&lt;=0,"",B28-C28),IF(B28-D28&lt;=0,"",B28-D28)))</f>
        <v>114</v>
      </c>
      <c r="C29" s="2">
        <v>29</v>
      </c>
      <c r="D29" s="2">
        <v>27</v>
      </c>
      <c r="E29" s="57">
        <f>IF(B29="","",IF(D28="",E28,B29+SUM(D$28:D28)))</f>
        <v>137</v>
      </c>
      <c r="F29" s="55">
        <f t="shared" ref="F29:F34" si="9">IF(B29="",IF(B28="","",IF(D28="","",I28)),IF(AND(D28="",C28=""),"",IF(AND(D28="",C28&lt;&gt;""),IF(I28&gt;F28,F28,I28),F28-D28)))</f>
        <v>114</v>
      </c>
      <c r="G29" s="55">
        <f t="shared" si="0"/>
        <v>114</v>
      </c>
      <c r="H29" s="55">
        <f t="shared" si="1"/>
        <v>0</v>
      </c>
      <c r="I29" s="55">
        <f>IF(B29="",IF(B28="","",IF(D28="","",F28-D28)),IF(AND(C28="",D28=""),"",IF(AND(D28="",C28&lt;&gt;""),IF(I28&gt;F28,I28-C28,F28-C28),B$28-B29-SUM(D$28:D28))))</f>
        <v>0</v>
      </c>
      <c r="K29">
        <f t="shared" si="2"/>
        <v>114</v>
      </c>
      <c r="L29" s="55">
        <f t="shared" ca="1" si="3"/>
        <v>112.66666666666669</v>
      </c>
      <c r="M29" s="55">
        <f ca="1">IF(L29=L28,"",L29)</f>
        <v>112.66666666666669</v>
      </c>
      <c r="N29" s="55">
        <f t="shared" ca="1" si="4"/>
        <v>0</v>
      </c>
      <c r="O29" s="66">
        <f t="shared" ca="1" si="5"/>
        <v>25</v>
      </c>
      <c r="P29" s="66">
        <f t="shared" ca="1" si="6"/>
        <v>25</v>
      </c>
      <c r="Q29" s="66">
        <f t="shared" ca="1" si="7"/>
        <v>25</v>
      </c>
    </row>
    <row r="30" spans="1:17" x14ac:dyDescent="0.15">
      <c r="A30" s="57">
        <v>3</v>
      </c>
      <c r="B30" s="2">
        <f t="shared" si="8"/>
        <v>87</v>
      </c>
      <c r="C30" s="2">
        <v>31</v>
      </c>
      <c r="D30" s="2"/>
      <c r="E30" s="57">
        <f>IF(B30="","",IF(D29="",E29,B30+SUM(D$28:D29)))</f>
        <v>137</v>
      </c>
      <c r="F30" s="55">
        <f t="shared" si="9"/>
        <v>87</v>
      </c>
      <c r="G30" s="55">
        <f t="shared" si="0"/>
        <v>87</v>
      </c>
      <c r="H30" s="55">
        <f t="shared" si="1"/>
        <v>0</v>
      </c>
      <c r="I30" s="55">
        <f>IF(B30="",IF(B29="","",IF(D29="","",F29-D29)),IF(AND(C29="",D29=""),"",IF(AND(D29="",C29&lt;&gt;""),IF(I29&gt;F29,I29-C29,F29-C29),B$28-B30-SUM(D$28:D29))))</f>
        <v>0</v>
      </c>
      <c r="K30">
        <f t="shared" si="2"/>
        <v>87</v>
      </c>
      <c r="L30" s="55">
        <f t="shared" ca="1" si="3"/>
        <v>87.666666666666686</v>
      </c>
      <c r="M30" s="55">
        <f t="shared" ref="M30:M51" ca="1" si="10">IF(L30=L29,"",L30)</f>
        <v>87.666666666666686</v>
      </c>
      <c r="N30" s="55">
        <f t="shared" ca="1" si="4"/>
        <v>0</v>
      </c>
      <c r="O30" s="66">
        <f t="shared" ca="1" si="5"/>
        <v>25</v>
      </c>
      <c r="P30" s="66">
        <f t="shared" ca="1" si="6"/>
        <v>25</v>
      </c>
      <c r="Q30" s="66">
        <f t="shared" ca="1" si="7"/>
        <v>25</v>
      </c>
    </row>
    <row r="31" spans="1:17" x14ac:dyDescent="0.15">
      <c r="A31" s="57">
        <v>4</v>
      </c>
      <c r="B31" s="2">
        <f t="shared" si="8"/>
        <v>56</v>
      </c>
      <c r="C31" s="2">
        <v>28</v>
      </c>
      <c r="D31" s="2"/>
      <c r="E31" s="57">
        <f>IF(B31="","",IF(D30="",E30,B31+SUM(D$28:D30)))</f>
        <v>137</v>
      </c>
      <c r="F31" s="55">
        <f t="shared" si="9"/>
        <v>0</v>
      </c>
      <c r="G31" s="55">
        <f t="shared" si="0"/>
        <v>0</v>
      </c>
      <c r="H31" s="55">
        <f t="shared" si="1"/>
        <v>56</v>
      </c>
      <c r="I31" s="55">
        <f>IF(B31="",IF(B30="","",IF(D30="","",F30-D30)),IF(AND(C30="",D30=""),"",IF(AND(D30="",C30&lt;&gt;""),IF(I30&gt;F30,I30-C30,F30-C30),B$28-B31-SUM(D$28:D30))))</f>
        <v>56</v>
      </c>
      <c r="K31">
        <f t="shared" si="2"/>
        <v>56</v>
      </c>
      <c r="L31" s="55">
        <f t="shared" ca="1" si="3"/>
        <v>62.666666666666686</v>
      </c>
      <c r="M31" s="55">
        <f t="shared" ca="1" si="10"/>
        <v>62.666666666666686</v>
      </c>
      <c r="N31" s="55">
        <f t="shared" ca="1" si="4"/>
        <v>0</v>
      </c>
      <c r="O31" s="66">
        <f t="shared" ca="1" si="5"/>
        <v>25</v>
      </c>
      <c r="P31" s="66">
        <f t="shared" ca="1" si="6"/>
        <v>25</v>
      </c>
      <c r="Q31" s="66">
        <f t="shared" ca="1" si="7"/>
        <v>25</v>
      </c>
    </row>
    <row r="32" spans="1:17" x14ac:dyDescent="0.15">
      <c r="A32" s="57">
        <v>5</v>
      </c>
      <c r="B32" s="2">
        <f>IF(OR(B31="",C31=""),"",IF(D31="",IF(B31-C31&lt;=0,"",B31-C31),IF(B31-D31&lt;=0,"",B31-D31)))</f>
        <v>28</v>
      </c>
      <c r="C32" s="2">
        <v>28</v>
      </c>
      <c r="D32" s="2"/>
      <c r="E32" s="57">
        <f>IF(B32="","",IF(D31="",E31,B32+SUM(D$28:D31)))</f>
        <v>137</v>
      </c>
      <c r="F32" s="55">
        <f t="shared" si="9"/>
        <v>0</v>
      </c>
      <c r="G32" s="55">
        <f t="shared" si="0"/>
        <v>0</v>
      </c>
      <c r="H32" s="55">
        <f t="shared" si="1"/>
        <v>28</v>
      </c>
      <c r="I32" s="55">
        <f>IF(B32="",IF(B31="","",IF(D31="","",F31-D31)),IF(AND(C31="",D31=""),"",IF(AND(D31="",C31&lt;&gt;""),IF(I31&gt;F31,I31-C31,F31-C31),B$28-B32-SUM(D$28:D31))))</f>
        <v>28</v>
      </c>
      <c r="K32">
        <f t="shared" si="2"/>
        <v>28</v>
      </c>
      <c r="L32" s="55">
        <f t="shared" ca="1" si="3"/>
        <v>37.666666666666686</v>
      </c>
      <c r="M32" s="55">
        <f t="shared" ca="1" si="10"/>
        <v>37.666666666666686</v>
      </c>
      <c r="N32" s="55">
        <f t="shared" ca="1" si="4"/>
        <v>0</v>
      </c>
      <c r="O32" s="66">
        <f t="shared" ca="1" si="5"/>
        <v>25</v>
      </c>
      <c r="P32" s="66">
        <f t="shared" ca="1" si="6"/>
        <v>25</v>
      </c>
      <c r="Q32" s="66">
        <f t="shared" ca="1" si="7"/>
        <v>25</v>
      </c>
    </row>
    <row r="33" spans="1:17" x14ac:dyDescent="0.15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12.666666666666686</v>
      </c>
      <c r="M33" s="55">
        <f t="shared" ca="1" si="10"/>
        <v>12.666666666666686</v>
      </c>
      <c r="N33" s="55">
        <f t="shared" ca="1" si="4"/>
        <v>0</v>
      </c>
      <c r="O33" s="66">
        <f t="shared" ca="1" si="5"/>
        <v>25</v>
      </c>
      <c r="P33" s="66">
        <f t="shared" ca="1" si="6"/>
        <v>25</v>
      </c>
      <c r="Q33" s="66">
        <f t="shared" ca="1" si="7"/>
        <v>25</v>
      </c>
    </row>
    <row r="34" spans="1:17" x14ac:dyDescent="0.15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0</v>
      </c>
      <c r="M34" s="55">
        <f t="shared" ca="1" si="10"/>
        <v>0</v>
      </c>
      <c r="N34" s="55">
        <f t="shared" ca="1" si="4"/>
        <v>0</v>
      </c>
      <c r="O34" s="66">
        <f t="shared" ca="1" si="5"/>
        <v>25</v>
      </c>
      <c r="P34" s="66">
        <f t="shared" ca="1" si="6"/>
        <v>25</v>
      </c>
      <c r="Q34" s="66">
        <f t="shared" ca="1" si="7"/>
        <v>25</v>
      </c>
    </row>
    <row r="35" spans="1:17" x14ac:dyDescent="0.15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0</v>
      </c>
      <c r="M35" s="55" t="str">
        <f t="shared" ca="1" si="10"/>
        <v/>
      </c>
      <c r="N35" s="55">
        <f t="shared" ca="1" si="4"/>
        <v>0</v>
      </c>
      <c r="O35" s="66">
        <f t="shared" ca="1" si="5"/>
        <v>25</v>
      </c>
      <c r="P35" s="66">
        <f t="shared" ca="1" si="6"/>
        <v>25</v>
      </c>
      <c r="Q35" s="66">
        <f t="shared" ca="1" si="7"/>
        <v>25</v>
      </c>
    </row>
    <row r="36" spans="1:17" x14ac:dyDescent="0.15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0</v>
      </c>
      <c r="M36" s="55" t="str">
        <f t="shared" ca="1" si="10"/>
        <v/>
      </c>
      <c r="N36" s="55">
        <f t="shared" ca="1" si="4"/>
        <v>0</v>
      </c>
      <c r="O36" s="66">
        <f t="shared" ca="1" si="5"/>
        <v>25</v>
      </c>
      <c r="P36" s="66">
        <f t="shared" ca="1" si="6"/>
        <v>25</v>
      </c>
      <c r="Q36" s="66">
        <f t="shared" ca="1" si="7"/>
        <v>25</v>
      </c>
    </row>
    <row r="37" spans="1:17" x14ac:dyDescent="0.15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0</v>
      </c>
      <c r="M37" s="55" t="str">
        <f t="shared" ca="1" si="10"/>
        <v/>
      </c>
      <c r="N37" s="55">
        <f t="shared" ca="1" si="4"/>
        <v>0</v>
      </c>
      <c r="O37" s="66">
        <f t="shared" ca="1" si="5"/>
        <v>25</v>
      </c>
      <c r="P37" s="66">
        <f t="shared" ca="1" si="6"/>
        <v>25</v>
      </c>
      <c r="Q37" s="66">
        <f t="shared" ca="1" si="7"/>
        <v>25</v>
      </c>
    </row>
    <row r="38" spans="1:17" x14ac:dyDescent="0.15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0</v>
      </c>
      <c r="M38" s="55" t="str">
        <f t="shared" ca="1" si="10"/>
        <v/>
      </c>
      <c r="N38" s="55">
        <f t="shared" ca="1" si="4"/>
        <v>0</v>
      </c>
      <c r="O38" s="66">
        <f t="shared" ca="1" si="5"/>
        <v>25</v>
      </c>
      <c r="P38" s="66">
        <f t="shared" ca="1" si="6"/>
        <v>25</v>
      </c>
      <c r="Q38" s="66">
        <f t="shared" ca="1" si="7"/>
        <v>25</v>
      </c>
    </row>
    <row r="39" spans="1:17" x14ac:dyDescent="0.15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0</v>
      </c>
      <c r="M39" s="55" t="str">
        <f t="shared" ca="1" si="10"/>
        <v/>
      </c>
      <c r="N39" s="55">
        <f t="shared" ca="1" si="4"/>
        <v>0</v>
      </c>
      <c r="O39" s="66">
        <f t="shared" ca="1" si="5"/>
        <v>25</v>
      </c>
      <c r="P39" s="66">
        <f t="shared" ca="1" si="6"/>
        <v>25</v>
      </c>
      <c r="Q39" s="66">
        <f t="shared" ca="1" si="7"/>
        <v>25</v>
      </c>
    </row>
    <row r="40" spans="1:17" x14ac:dyDescent="0.15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0</v>
      </c>
      <c r="M40" s="55" t="str">
        <f t="shared" ca="1" si="10"/>
        <v/>
      </c>
      <c r="N40" s="55">
        <f t="shared" ca="1" si="4"/>
        <v>0</v>
      </c>
      <c r="O40" s="66">
        <f t="shared" ca="1" si="5"/>
        <v>25</v>
      </c>
      <c r="P40" s="66">
        <f t="shared" ca="1" si="6"/>
        <v>25</v>
      </c>
      <c r="Q40" s="66">
        <f t="shared" ca="1" si="7"/>
        <v>25</v>
      </c>
    </row>
    <row r="41" spans="1:17" x14ac:dyDescent="0.15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0</v>
      </c>
      <c r="M41" s="55" t="str">
        <f t="shared" ca="1" si="10"/>
        <v/>
      </c>
      <c r="N41" s="55">
        <f t="shared" ca="1" si="4"/>
        <v>0</v>
      </c>
      <c r="O41" s="66">
        <f t="shared" ca="1" si="5"/>
        <v>25</v>
      </c>
      <c r="P41" s="66">
        <f t="shared" ca="1" si="6"/>
        <v>25</v>
      </c>
      <c r="Q41" s="66">
        <f t="shared" ca="1" si="7"/>
        <v>25</v>
      </c>
    </row>
    <row r="42" spans="1:17" x14ac:dyDescent="0.15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0</v>
      </c>
      <c r="M42" s="55" t="str">
        <f t="shared" ca="1" si="10"/>
        <v/>
      </c>
      <c r="N42" s="55">
        <f t="shared" ca="1" si="4"/>
        <v>0</v>
      </c>
      <c r="O42" s="66">
        <f t="shared" ca="1" si="5"/>
        <v>25</v>
      </c>
      <c r="P42" s="66">
        <f t="shared" ca="1" si="6"/>
        <v>25</v>
      </c>
      <c r="Q42" s="66">
        <f t="shared" ca="1" si="7"/>
        <v>25</v>
      </c>
    </row>
    <row r="43" spans="1:17" x14ac:dyDescent="0.15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0</v>
      </c>
      <c r="M43" s="55" t="str">
        <f t="shared" ca="1" si="10"/>
        <v/>
      </c>
      <c r="N43" s="55">
        <f t="shared" ca="1" si="4"/>
        <v>0</v>
      </c>
      <c r="O43" s="66">
        <f t="shared" ca="1" si="5"/>
        <v>25</v>
      </c>
      <c r="P43" s="66">
        <f t="shared" ca="1" si="6"/>
        <v>25</v>
      </c>
      <c r="Q43" s="66">
        <f t="shared" ca="1" si="7"/>
        <v>25</v>
      </c>
    </row>
    <row r="44" spans="1:17" x14ac:dyDescent="0.15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0</v>
      </c>
      <c r="M44" s="55" t="str">
        <f t="shared" ca="1" si="10"/>
        <v/>
      </c>
      <c r="N44" s="55">
        <f t="shared" ca="1" si="4"/>
        <v>0</v>
      </c>
      <c r="O44" s="66">
        <f t="shared" ca="1" si="5"/>
        <v>25</v>
      </c>
      <c r="P44" s="66">
        <f t="shared" ca="1" si="6"/>
        <v>25</v>
      </c>
      <c r="Q44" s="66">
        <f t="shared" ca="1" si="7"/>
        <v>25</v>
      </c>
    </row>
    <row r="45" spans="1:17" x14ac:dyDescent="0.15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0</v>
      </c>
      <c r="M45" s="55" t="str">
        <f t="shared" ca="1" si="10"/>
        <v/>
      </c>
      <c r="N45" s="55">
        <f t="shared" ca="1" si="4"/>
        <v>0</v>
      </c>
      <c r="O45" s="66">
        <f t="shared" ca="1" si="5"/>
        <v>25</v>
      </c>
      <c r="P45" s="66">
        <f t="shared" ca="1" si="6"/>
        <v>25</v>
      </c>
      <c r="Q45" s="66">
        <f t="shared" ca="1" si="7"/>
        <v>25</v>
      </c>
    </row>
    <row r="46" spans="1:17" x14ac:dyDescent="0.15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0</v>
      </c>
      <c r="M46" s="55" t="str">
        <f t="shared" ca="1" si="10"/>
        <v/>
      </c>
      <c r="N46" s="55">
        <f t="shared" ca="1" si="4"/>
        <v>0</v>
      </c>
      <c r="O46" s="66">
        <f t="shared" ca="1" si="5"/>
        <v>25</v>
      </c>
      <c r="P46" s="66">
        <f t="shared" ca="1" si="6"/>
        <v>25</v>
      </c>
      <c r="Q46" s="66">
        <f t="shared" ca="1" si="7"/>
        <v>25</v>
      </c>
    </row>
    <row r="47" spans="1:17" x14ac:dyDescent="0.15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0</v>
      </c>
      <c r="M47" s="55" t="str">
        <f t="shared" ca="1" si="10"/>
        <v/>
      </c>
      <c r="N47" s="55">
        <f t="shared" ca="1" si="4"/>
        <v>0</v>
      </c>
      <c r="O47" s="66">
        <f t="shared" ca="1" si="5"/>
        <v>25</v>
      </c>
      <c r="P47" s="66">
        <f t="shared" ca="1" si="6"/>
        <v>25</v>
      </c>
      <c r="Q47" s="66">
        <f t="shared" ca="1" si="7"/>
        <v>25</v>
      </c>
    </row>
    <row r="48" spans="1:17" x14ac:dyDescent="0.15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0</v>
      </c>
      <c r="M48" s="55" t="str">
        <f t="shared" ca="1" si="10"/>
        <v/>
      </c>
      <c r="N48" s="55">
        <f t="shared" ca="1" si="4"/>
        <v>0</v>
      </c>
      <c r="O48" s="66">
        <f t="shared" ca="1" si="5"/>
        <v>25</v>
      </c>
      <c r="P48" s="66">
        <f t="shared" ca="1" si="6"/>
        <v>25</v>
      </c>
      <c r="Q48" s="66">
        <f t="shared" ca="1" si="7"/>
        <v>25</v>
      </c>
    </row>
    <row r="49" spans="1:17" x14ac:dyDescent="0.15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0</v>
      </c>
      <c r="M49" s="55" t="str">
        <f t="shared" ca="1" si="10"/>
        <v/>
      </c>
      <c r="N49" s="55">
        <f t="shared" ca="1" si="4"/>
        <v>0</v>
      </c>
      <c r="O49" s="66">
        <f t="shared" ca="1" si="5"/>
        <v>25</v>
      </c>
      <c r="P49" s="66">
        <f t="shared" ca="1" si="6"/>
        <v>25</v>
      </c>
      <c r="Q49" s="66">
        <f t="shared" ca="1" si="7"/>
        <v>25</v>
      </c>
    </row>
    <row r="50" spans="1:17" x14ac:dyDescent="0.15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0</v>
      </c>
      <c r="M50" s="55" t="str">
        <f t="shared" ca="1" si="10"/>
        <v/>
      </c>
      <c r="N50" s="55">
        <f t="shared" ca="1" si="4"/>
        <v>0</v>
      </c>
      <c r="O50" s="66">
        <f t="shared" ca="1" si="5"/>
        <v>25</v>
      </c>
      <c r="P50" s="66">
        <f t="shared" ca="1" si="6"/>
        <v>25</v>
      </c>
      <c r="Q50" s="66">
        <f t="shared" ca="1" si="7"/>
        <v>25</v>
      </c>
    </row>
    <row r="51" spans="1:17" x14ac:dyDescent="0.15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0</v>
      </c>
      <c r="M51" s="55" t="str">
        <f t="shared" ca="1" si="10"/>
        <v/>
      </c>
      <c r="N51" s="55">
        <f t="shared" ca="1" si="4"/>
        <v>0</v>
      </c>
      <c r="O51" s="66">
        <f t="shared" ca="1" si="5"/>
        <v>25</v>
      </c>
      <c r="P51" s="66">
        <f t="shared" ca="1" si="6"/>
        <v>25</v>
      </c>
      <c r="Q51" s="66">
        <f t="shared" ca="1" si="7"/>
        <v>25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8" priority="1" stopIfTrue="1">
      <formula>$D26="Done"</formula>
    </cfRule>
    <cfRule type="expression" dxfId="7" priority="2" stopIfTrue="1">
      <formula>$D26="Ongoing"</formula>
    </cfRule>
    <cfRule type="expression" dxfId="6" priority="3" stopIfTrue="1">
      <formula>$D26="Removed"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47560-726D-7140-95D8-05337BE67733}">
  <sheetPr codeName="Sheet5"/>
  <dimension ref="A1:AD87"/>
  <sheetViews>
    <sheetView workbookViewId="0">
      <pane ySplit="14" topLeftCell="A15" activePane="bottomLeft" state="frozen"/>
      <selection pane="bottomLeft" activeCell="A8" sqref="A8"/>
    </sheetView>
  </sheetViews>
  <sheetFormatPr baseColWidth="10" defaultColWidth="9.1640625" defaultRowHeight="13" x14ac:dyDescent="0.15"/>
  <cols>
    <col min="1" max="1" width="43.5" style="35" customWidth="1"/>
    <col min="2" max="2" width="8.5" style="34" customWidth="1"/>
    <col min="3" max="3" width="13.6640625" style="35" customWidth="1"/>
    <col min="4" max="4" width="10.83203125" style="35" customWidth="1"/>
    <col min="5" max="5" width="6.5" style="34" customWidth="1"/>
    <col min="6" max="30" width="4.5" style="34" customWidth="1"/>
    <col min="31" max="16384" width="9.1640625" style="35"/>
  </cols>
  <sheetData>
    <row r="1" spans="1:30" ht="18" x14ac:dyDescent="0.15">
      <c r="A1" s="67">
        <v>1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1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15">
      <c r="A9" s="69" t="s">
        <v>12</v>
      </c>
      <c r="B9" s="70">
        <v>5</v>
      </c>
      <c r="C9" s="69"/>
      <c r="D9" s="71"/>
      <c r="E9" s="69" t="s">
        <v>9</v>
      </c>
      <c r="F9" s="69" t="s">
        <v>11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x14ac:dyDescent="0.15">
      <c r="A10" s="69" t="s">
        <v>29</v>
      </c>
      <c r="B10" s="70">
        <v>5</v>
      </c>
      <c r="C10" s="69" t="s">
        <v>30</v>
      </c>
      <c r="D10" s="69" t="s">
        <v>17</v>
      </c>
      <c r="E10" s="72">
        <f ca="1">SUM(OFFSET(E14,1,0,TaskRows,1))</f>
        <v>33</v>
      </c>
      <c r="F10" s="72">
        <f ca="1">IF(AND(SUM(OFFSET(F14,1,0,TaskRows,1))=0),0,SUM(OFFSET(F14,1,0,TaskRows,1)))</f>
        <v>33</v>
      </c>
      <c r="G10" s="72">
        <f t="shared" ref="G10:AD10" ca="1" si="0">IF(AND(SUM(OFFSET(G14,1,0,TaskRows,1))=0),"",SUM(OFFSET(G14,1,0,TaskRows,1)))</f>
        <v>30</v>
      </c>
      <c r="H10" s="72">
        <f t="shared" ca="1" si="0"/>
        <v>23</v>
      </c>
      <c r="I10" s="72">
        <f t="shared" ca="1" si="0"/>
        <v>21</v>
      </c>
      <c r="J10" s="72" t="str">
        <f t="shared" ca="1" si="0"/>
        <v/>
      </c>
      <c r="K10" s="72" t="str">
        <f t="shared" ca="1" si="0"/>
        <v/>
      </c>
      <c r="L10" s="72" t="str">
        <f t="shared" ca="1" si="0"/>
        <v/>
      </c>
      <c r="M10" s="72" t="str">
        <f t="shared" ca="1" si="0"/>
        <v/>
      </c>
      <c r="N10" s="72" t="str">
        <f t="shared" ca="1" si="0"/>
        <v/>
      </c>
      <c r="O10" s="72" t="str">
        <f t="shared" ca="1" si="0"/>
        <v/>
      </c>
      <c r="P10" s="72" t="str">
        <f t="shared" ca="1" si="0"/>
        <v/>
      </c>
      <c r="Q10" s="72" t="str">
        <f t="shared" ca="1" si="0"/>
        <v/>
      </c>
      <c r="R10" s="72" t="str">
        <f t="shared" ca="1" si="0"/>
        <v/>
      </c>
      <c r="S10" s="72" t="str">
        <f t="shared" ca="1" si="0"/>
        <v/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15">
      <c r="A11" t="s">
        <v>22</v>
      </c>
      <c r="B11" s="2">
        <f>IF(COUNTA(A15:A242)=0,1,COUNTA(A15:A242))</f>
        <v>4</v>
      </c>
      <c r="C11" t="s">
        <v>23</v>
      </c>
      <c r="D11" s="2">
        <f ca="1">IF(COUNTIF(F10:AD10,"&gt;0")=0,1,COUNTIF(F10:AD10,"&gt;0"))</f>
        <v>4</v>
      </c>
      <c r="E11" s="2"/>
      <c r="F11" s="2">
        <f ca="1">IF(F14="","",$E10-$E10/($B9-1)*(F14-1))</f>
        <v>33</v>
      </c>
      <c r="G11" s="2">
        <f t="shared" ref="G11:AD11" ca="1" si="1">IF(G14="","",TotalEffort-TotalEffort/(ImplementationDays)*(G14-1))</f>
        <v>26.4</v>
      </c>
      <c r="H11" s="2">
        <f t="shared" ca="1" si="1"/>
        <v>19.8</v>
      </c>
      <c r="I11" s="2">
        <f t="shared" ca="1" si="1"/>
        <v>13.200000000000003</v>
      </c>
      <c r="J11" s="2">
        <f t="shared" ca="1" si="1"/>
        <v>6.6000000000000014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15">
      <c r="A12" s="56" t="s">
        <v>26</v>
      </c>
      <c r="C12" t="s">
        <v>24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33.200000000000003</v>
      </c>
      <c r="G12" s="2">
        <f t="shared" ca="1" si="2"/>
        <v>28.9</v>
      </c>
      <c r="H12" s="2">
        <f t="shared" ca="1" si="2"/>
        <v>24.599999999999998</v>
      </c>
      <c r="I12" s="2">
        <f t="shared" ca="1" si="2"/>
        <v>20.299999999999997</v>
      </c>
      <c r="J12" s="2">
        <f t="shared" ca="1" si="2"/>
        <v>15.999999999999996</v>
      </c>
      <c r="K12" s="2">
        <f t="shared" ca="1" si="2"/>
        <v>11.699999999999996</v>
      </c>
      <c r="L12" s="2">
        <f t="shared" ca="1" si="2"/>
        <v>7.399999999999995</v>
      </c>
      <c r="M12" s="2">
        <f t="shared" ca="1" si="2"/>
        <v>3.0999999999999943</v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15">
      <c r="A13" s="56" t="s">
        <v>27</v>
      </c>
      <c r="C13" t="s">
        <v>25</v>
      </c>
      <c r="D13" s="2">
        <f ca="1">IF(DoneDays&gt;B10,B10,DoneDays)</f>
        <v>4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15">
      <c r="A14" s="69" t="s">
        <v>7</v>
      </c>
      <c r="B14" s="73" t="s">
        <v>21</v>
      </c>
      <c r="C14" s="69" t="s">
        <v>8</v>
      </c>
      <c r="D14" s="69" t="s">
        <v>3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 t="str">
        <f t="shared" si="3"/>
        <v/>
      </c>
      <c r="L14" s="73" t="str">
        <f t="shared" si="3"/>
        <v/>
      </c>
      <c r="M14" s="73" t="str">
        <f t="shared" si="3"/>
        <v/>
      </c>
      <c r="N14" s="73" t="str">
        <f t="shared" si="3"/>
        <v/>
      </c>
      <c r="O14" s="73" t="str">
        <f t="shared" si="3"/>
        <v/>
      </c>
      <c r="P14" s="73" t="str">
        <f t="shared" si="3"/>
        <v/>
      </c>
      <c r="Q14" s="73" t="str">
        <f t="shared" si="3"/>
        <v/>
      </c>
      <c r="R14" s="73" t="str">
        <f t="shared" si="3"/>
        <v/>
      </c>
      <c r="S14" s="73" t="str">
        <f t="shared" si="3"/>
        <v/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15">
      <c r="A15" t="s">
        <v>80</v>
      </c>
      <c r="B15" s="2">
        <v>1</v>
      </c>
      <c r="C15" t="s">
        <v>85</v>
      </c>
      <c r="D15" t="s">
        <v>79</v>
      </c>
      <c r="E15" s="2">
        <v>5</v>
      </c>
      <c r="F15" s="2">
        <f>IF(OR(F$14="",$E15=""),"",E15)</f>
        <v>5</v>
      </c>
      <c r="G15" s="2">
        <v>2</v>
      </c>
      <c r="H15" s="2">
        <v>0</v>
      </c>
      <c r="I15" s="2"/>
    </row>
    <row r="16" spans="1:30" x14ac:dyDescent="0.15">
      <c r="A16" t="s">
        <v>81</v>
      </c>
      <c r="B16" s="2">
        <v>1</v>
      </c>
      <c r="C16" t="s">
        <v>86</v>
      </c>
      <c r="D16" t="s">
        <v>82</v>
      </c>
      <c r="E16" s="2">
        <v>7</v>
      </c>
      <c r="F16" s="2">
        <f>IF(OR(F$14="",$E16=""),"",E16)</f>
        <v>7</v>
      </c>
      <c r="G16" s="2">
        <v>7</v>
      </c>
      <c r="H16" s="2">
        <v>2</v>
      </c>
      <c r="I16" s="2">
        <v>2</v>
      </c>
    </row>
    <row r="17" spans="1:30" x14ac:dyDescent="0.15">
      <c r="A17" t="s">
        <v>83</v>
      </c>
      <c r="B17" s="2">
        <v>2</v>
      </c>
      <c r="C17" t="s">
        <v>85</v>
      </c>
      <c r="D17" t="s">
        <v>82</v>
      </c>
      <c r="E17" s="2">
        <v>12</v>
      </c>
      <c r="F17" s="2">
        <f>IF(OR(F$14="",$E17=""),"",E17)</f>
        <v>12</v>
      </c>
      <c r="G17" s="2">
        <v>12</v>
      </c>
      <c r="H17" s="2">
        <v>12</v>
      </c>
      <c r="I17" s="2">
        <v>10</v>
      </c>
      <c r="AC17" s="34" t="str">
        <f t="shared" ref="AC17:AD34" si="4">IF(OR(AC$14="",$E17=""),"",AB17)</f>
        <v/>
      </c>
      <c r="AD17" s="34" t="str">
        <f t="shared" si="4"/>
        <v/>
      </c>
    </row>
    <row r="18" spans="1:30" x14ac:dyDescent="0.15">
      <c r="A18" t="s">
        <v>84</v>
      </c>
      <c r="B18" s="2">
        <v>2</v>
      </c>
      <c r="C18"/>
      <c r="D18" t="str">
        <f>IF(A18&lt;&gt;"","Planned","")</f>
        <v>Planned</v>
      </c>
      <c r="E18" s="2">
        <v>9</v>
      </c>
      <c r="F18" s="2">
        <f>IF(OR(F$14="",$E18=""),"",E18)</f>
        <v>9</v>
      </c>
      <c r="G18" s="2">
        <v>9</v>
      </c>
      <c r="H18" s="2">
        <v>9</v>
      </c>
      <c r="I18" s="2">
        <v>9</v>
      </c>
    </row>
    <row r="19" spans="1:30" x14ac:dyDescent="0.15">
      <c r="A19" s="32"/>
      <c r="C19"/>
      <c r="AC19" s="34" t="str">
        <f t="shared" si="4"/>
        <v/>
      </c>
      <c r="AD19" s="34" t="str">
        <f t="shared" si="4"/>
        <v/>
      </c>
    </row>
    <row r="20" spans="1:30" x14ac:dyDescent="0.15">
      <c r="A20" s="32"/>
      <c r="C20"/>
      <c r="AC20" s="34" t="str">
        <f t="shared" si="4"/>
        <v/>
      </c>
      <c r="AD20" s="34" t="str">
        <f t="shared" si="4"/>
        <v/>
      </c>
    </row>
    <row r="21" spans="1:30" x14ac:dyDescent="0.15">
      <c r="A21" s="32"/>
      <c r="C21"/>
      <c r="AC21" s="34" t="str">
        <f t="shared" si="4"/>
        <v/>
      </c>
      <c r="AD21" s="34" t="str">
        <f t="shared" si="4"/>
        <v/>
      </c>
    </row>
    <row r="22" spans="1:30" x14ac:dyDescent="0.15">
      <c r="A22" s="32"/>
      <c r="C22"/>
      <c r="AC22" s="34" t="str">
        <f t="shared" si="4"/>
        <v/>
      </c>
      <c r="AD22" s="34" t="str">
        <f t="shared" si="4"/>
        <v/>
      </c>
    </row>
    <row r="23" spans="1:30" ht="15" customHeight="1" x14ac:dyDescent="0.15">
      <c r="A23" s="32"/>
      <c r="C23"/>
      <c r="AC23" s="34" t="str">
        <f t="shared" si="4"/>
        <v/>
      </c>
      <c r="AD23" s="34" t="str">
        <f t="shared" si="4"/>
        <v/>
      </c>
    </row>
    <row r="24" spans="1:30" x14ac:dyDescent="0.15">
      <c r="A24" s="32"/>
      <c r="C24"/>
      <c r="AC24" s="34" t="str">
        <f t="shared" si="4"/>
        <v/>
      </c>
      <c r="AD24" s="34" t="str">
        <f t="shared" si="4"/>
        <v/>
      </c>
    </row>
    <row r="25" spans="1:30" x14ac:dyDescent="0.15">
      <c r="A25" s="32"/>
      <c r="C25"/>
    </row>
    <row r="26" spans="1:30" x14ac:dyDescent="0.1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1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15">
      <c r="A28" s="32"/>
      <c r="C28"/>
      <c r="AC28" s="34" t="str">
        <f t="shared" si="4"/>
        <v/>
      </c>
      <c r="AD28" s="34" t="str">
        <f t="shared" si="4"/>
        <v/>
      </c>
    </row>
    <row r="29" spans="1:30" x14ac:dyDescent="0.15">
      <c r="A29" s="32"/>
      <c r="C29"/>
      <c r="AC29" s="34" t="str">
        <f t="shared" si="4"/>
        <v/>
      </c>
      <c r="AD29" s="34" t="str">
        <f t="shared" si="4"/>
        <v/>
      </c>
    </row>
    <row r="30" spans="1:30" x14ac:dyDescent="0.15">
      <c r="A30" s="32"/>
      <c r="C30"/>
      <c r="AC30" s="34" t="str">
        <f t="shared" si="4"/>
        <v/>
      </c>
      <c r="AD30" s="34" t="str">
        <f t="shared" si="4"/>
        <v/>
      </c>
    </row>
    <row r="31" spans="1:30" x14ac:dyDescent="0.15">
      <c r="A31" s="32"/>
      <c r="C31"/>
      <c r="AC31" s="34" t="str">
        <f t="shared" si="4"/>
        <v/>
      </c>
      <c r="AD31" s="34" t="str">
        <f t="shared" si="4"/>
        <v/>
      </c>
    </row>
    <row r="32" spans="1:30" x14ac:dyDescent="0.15">
      <c r="A32" s="32"/>
      <c r="C32"/>
      <c r="AC32" s="34" t="str">
        <f t="shared" si="4"/>
        <v/>
      </c>
      <c r="AD32" s="34" t="str">
        <f t="shared" si="4"/>
        <v/>
      </c>
    </row>
    <row r="33" spans="1:30" x14ac:dyDescent="0.15">
      <c r="A33" s="32"/>
      <c r="C33"/>
      <c r="AC33" s="34" t="str">
        <f t="shared" si="4"/>
        <v/>
      </c>
      <c r="AD33" s="34" t="str">
        <f t="shared" si="4"/>
        <v/>
      </c>
    </row>
    <row r="34" spans="1:30" x14ac:dyDescent="0.15">
      <c r="A34" s="32"/>
      <c r="C34"/>
      <c r="AC34" s="34" t="str">
        <f t="shared" si="4"/>
        <v/>
      </c>
      <c r="AD34" s="34" t="str">
        <f t="shared" si="4"/>
        <v/>
      </c>
    </row>
    <row r="35" spans="1:30" x14ac:dyDescent="0.15">
      <c r="A35" s="32"/>
      <c r="C35"/>
    </row>
    <row r="36" spans="1:30" x14ac:dyDescent="0.15">
      <c r="A36" s="32"/>
      <c r="C36"/>
      <c r="AC36" s="34" t="str">
        <f t="shared" ref="AC36:AD40" si="5">IF(OR(AC$14="",$E36=""),"",AB36)</f>
        <v/>
      </c>
      <c r="AD36" s="34" t="str">
        <f t="shared" si="5"/>
        <v/>
      </c>
    </row>
    <row r="37" spans="1:30" x14ac:dyDescent="0.15">
      <c r="A37" s="32"/>
      <c r="C37"/>
      <c r="AC37" s="34" t="str">
        <f t="shared" si="5"/>
        <v/>
      </c>
      <c r="AD37" s="34" t="str">
        <f t="shared" si="5"/>
        <v/>
      </c>
    </row>
    <row r="38" spans="1:30" x14ac:dyDescent="0.15">
      <c r="A38" s="32"/>
      <c r="C38"/>
      <c r="AC38" s="34" t="str">
        <f t="shared" si="5"/>
        <v/>
      </c>
      <c r="AD38" s="34" t="str">
        <f t="shared" si="5"/>
        <v/>
      </c>
    </row>
    <row r="39" spans="1:30" x14ac:dyDescent="0.15">
      <c r="A39" s="32"/>
      <c r="C39"/>
      <c r="AC39" s="34" t="str">
        <f t="shared" si="5"/>
        <v/>
      </c>
      <c r="AD39" s="34" t="str">
        <f t="shared" si="5"/>
        <v/>
      </c>
    </row>
    <row r="40" spans="1:30" x14ac:dyDescent="0.15">
      <c r="A40" s="32"/>
      <c r="C40"/>
      <c r="AC40" s="34" t="str">
        <f t="shared" si="5"/>
        <v/>
      </c>
      <c r="AD40" s="34" t="str">
        <f t="shared" si="5"/>
        <v/>
      </c>
    </row>
    <row r="41" spans="1:30" x14ac:dyDescent="0.15">
      <c r="A41" s="32"/>
      <c r="C41"/>
      <c r="D41" s="35" t="str">
        <f t="shared" ref="D41:D64" si="6">IF(A41&lt;&gt;"","Planned","")</f>
        <v/>
      </c>
      <c r="F41" s="34" t="str">
        <f t="shared" ref="F41:F63" si="7">IF(OR(F$14="",$E41=""),"",E41)</f>
        <v/>
      </c>
      <c r="AC41" s="34" t="str">
        <f t="shared" ref="AC41:AD59" si="8">IF(OR(AC$14="",$E41=""),"",AB41)</f>
        <v/>
      </c>
      <c r="AD41" s="34" t="str">
        <f t="shared" si="8"/>
        <v/>
      </c>
    </row>
    <row r="42" spans="1:30" x14ac:dyDescent="0.15">
      <c r="C42"/>
      <c r="D42" s="35" t="str">
        <f t="shared" si="6"/>
        <v/>
      </c>
      <c r="F42" s="34" t="str">
        <f t="shared" si="7"/>
        <v/>
      </c>
      <c r="AC42" s="34" t="str">
        <f t="shared" si="8"/>
        <v/>
      </c>
      <c r="AD42" s="34" t="str">
        <f t="shared" si="8"/>
        <v/>
      </c>
    </row>
    <row r="43" spans="1:30" x14ac:dyDescent="0.15">
      <c r="C43"/>
      <c r="D43" s="35" t="str">
        <f t="shared" si="6"/>
        <v/>
      </c>
      <c r="F43" s="34" t="str">
        <f t="shared" si="7"/>
        <v/>
      </c>
      <c r="AC43" s="34" t="str">
        <f t="shared" si="8"/>
        <v/>
      </c>
      <c r="AD43" s="34" t="str">
        <f t="shared" si="8"/>
        <v/>
      </c>
    </row>
    <row r="44" spans="1:30" x14ac:dyDescent="0.15">
      <c r="C44"/>
      <c r="D44" s="35" t="str">
        <f t="shared" si="6"/>
        <v/>
      </c>
      <c r="F44" s="34" t="str">
        <f t="shared" si="7"/>
        <v/>
      </c>
      <c r="AC44" s="34" t="str">
        <f t="shared" si="8"/>
        <v/>
      </c>
      <c r="AD44" s="34" t="str">
        <f t="shared" si="8"/>
        <v/>
      </c>
    </row>
    <row r="45" spans="1:30" x14ac:dyDescent="0.15">
      <c r="C45"/>
      <c r="D45" s="35" t="str">
        <f t="shared" si="6"/>
        <v/>
      </c>
      <c r="F45" s="34" t="str">
        <f t="shared" si="7"/>
        <v/>
      </c>
      <c r="AC45" s="34" t="str">
        <f t="shared" si="8"/>
        <v/>
      </c>
      <c r="AD45" s="34" t="str">
        <f t="shared" si="8"/>
        <v/>
      </c>
    </row>
    <row r="46" spans="1:30" x14ac:dyDescent="0.15">
      <c r="C46"/>
      <c r="D46" s="35" t="str">
        <f t="shared" si="6"/>
        <v/>
      </c>
      <c r="F46" s="34" t="str">
        <f t="shared" si="7"/>
        <v/>
      </c>
      <c r="AC46" s="34" t="str">
        <f t="shared" si="8"/>
        <v/>
      </c>
      <c r="AD46" s="34" t="str">
        <f t="shared" si="8"/>
        <v/>
      </c>
    </row>
    <row r="47" spans="1:30" x14ac:dyDescent="0.15">
      <c r="C47"/>
      <c r="D47" s="35" t="str">
        <f t="shared" si="6"/>
        <v/>
      </c>
      <c r="F47" s="34" t="str">
        <f t="shared" si="7"/>
        <v/>
      </c>
      <c r="AC47" s="34" t="str">
        <f t="shared" si="8"/>
        <v/>
      </c>
      <c r="AD47" s="34" t="str">
        <f t="shared" si="8"/>
        <v/>
      </c>
    </row>
    <row r="48" spans="1:30" x14ac:dyDescent="0.15">
      <c r="C48"/>
      <c r="D48" s="35" t="str">
        <f t="shared" si="6"/>
        <v/>
      </c>
      <c r="F48" s="34" t="str">
        <f t="shared" si="7"/>
        <v/>
      </c>
      <c r="AC48" s="34" t="str">
        <f t="shared" si="8"/>
        <v/>
      </c>
      <c r="AD48" s="34" t="str">
        <f t="shared" si="8"/>
        <v/>
      </c>
    </row>
    <row r="49" spans="3:30" x14ac:dyDescent="0.1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1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1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1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1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1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15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 x14ac:dyDescent="0.15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 x14ac:dyDescent="0.15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 x14ac:dyDescent="0.15">
      <c r="C58"/>
      <c r="D58" s="35" t="str">
        <f t="shared" si="6"/>
        <v/>
      </c>
      <c r="F58" s="34" t="str">
        <f t="shared" si="7"/>
        <v/>
      </c>
      <c r="AC58" s="34" t="str">
        <f t="shared" si="8"/>
        <v/>
      </c>
      <c r="AD58" s="34" t="str">
        <f t="shared" si="8"/>
        <v/>
      </c>
    </row>
    <row r="59" spans="3:30" x14ac:dyDescent="0.15">
      <c r="C59"/>
      <c r="D59" s="35" t="str">
        <f t="shared" si="6"/>
        <v/>
      </c>
      <c r="F59" s="34" t="str">
        <f t="shared" si="7"/>
        <v/>
      </c>
      <c r="AC59" s="34" t="str">
        <f t="shared" si="8"/>
        <v/>
      </c>
      <c r="AD59" s="34" t="str">
        <f t="shared" si="8"/>
        <v/>
      </c>
    </row>
    <row r="60" spans="3:30" x14ac:dyDescent="0.15">
      <c r="C60"/>
      <c r="D60" s="35" t="str">
        <f t="shared" si="6"/>
        <v/>
      </c>
      <c r="F60" s="34" t="str">
        <f t="shared" si="7"/>
        <v/>
      </c>
      <c r="AC60" s="34" t="str">
        <f t="shared" ref="AC60:AD63" si="9">IF(OR(AC$14="",$E60=""),"",AB60)</f>
        <v/>
      </c>
      <c r="AD60" s="34" t="str">
        <f t="shared" si="9"/>
        <v/>
      </c>
    </row>
    <row r="61" spans="3:30" x14ac:dyDescent="0.15">
      <c r="C61"/>
      <c r="D61" s="35" t="str">
        <f t="shared" si="6"/>
        <v/>
      </c>
      <c r="F61" s="34" t="str">
        <f t="shared" si="7"/>
        <v/>
      </c>
      <c r="AC61" s="34" t="str">
        <f t="shared" si="9"/>
        <v/>
      </c>
      <c r="AD61" s="34" t="str">
        <f t="shared" si="9"/>
        <v/>
      </c>
    </row>
    <row r="62" spans="3:30" x14ac:dyDescent="0.15">
      <c r="C62"/>
      <c r="D62" s="35" t="str">
        <f t="shared" si="6"/>
        <v/>
      </c>
      <c r="F62" s="34" t="str">
        <f t="shared" si="7"/>
        <v/>
      </c>
      <c r="G62" s="34" t="str">
        <f t="shared" ref="G62:AB62" si="10">IF(OR(G$14="",$E62=""),"",F62)</f>
        <v/>
      </c>
      <c r="H62" s="34" t="str">
        <f t="shared" si="10"/>
        <v/>
      </c>
      <c r="I62" s="34" t="str">
        <f t="shared" si="10"/>
        <v/>
      </c>
      <c r="J62" s="34" t="str">
        <f t="shared" si="10"/>
        <v/>
      </c>
      <c r="K62" s="34" t="str">
        <f t="shared" si="10"/>
        <v/>
      </c>
      <c r="L62" s="34" t="str">
        <f t="shared" si="10"/>
        <v/>
      </c>
      <c r="M62" s="34" t="str">
        <f t="shared" si="10"/>
        <v/>
      </c>
      <c r="N62" s="34" t="str">
        <f t="shared" si="10"/>
        <v/>
      </c>
      <c r="O62" s="34" t="str">
        <f t="shared" si="10"/>
        <v/>
      </c>
      <c r="P62" s="34" t="str">
        <f t="shared" si="10"/>
        <v/>
      </c>
      <c r="Q62" s="34" t="str">
        <f t="shared" si="10"/>
        <v/>
      </c>
      <c r="R62" s="34" t="str">
        <f t="shared" si="10"/>
        <v/>
      </c>
      <c r="S62" s="34" t="str">
        <f t="shared" si="10"/>
        <v/>
      </c>
      <c r="T62" s="34" t="str">
        <f t="shared" si="10"/>
        <v/>
      </c>
      <c r="U62" s="34" t="str">
        <f t="shared" si="10"/>
        <v/>
      </c>
      <c r="V62" s="34" t="str">
        <f t="shared" si="10"/>
        <v/>
      </c>
      <c r="W62" s="34" t="str">
        <f t="shared" si="10"/>
        <v/>
      </c>
      <c r="X62" s="34" t="str">
        <f t="shared" si="10"/>
        <v/>
      </c>
      <c r="Y62" s="34" t="str">
        <f t="shared" si="10"/>
        <v/>
      </c>
      <c r="Z62" s="34" t="str">
        <f t="shared" si="10"/>
        <v/>
      </c>
      <c r="AA62" s="34" t="str">
        <f t="shared" si="10"/>
        <v/>
      </c>
      <c r="AB62" s="34" t="str">
        <f t="shared" si="10"/>
        <v/>
      </c>
      <c r="AC62" s="34" t="str">
        <f t="shared" si="9"/>
        <v/>
      </c>
      <c r="AD62" s="34" t="str">
        <f t="shared" si="9"/>
        <v/>
      </c>
    </row>
    <row r="63" spans="3:30" x14ac:dyDescent="0.15">
      <c r="C63"/>
      <c r="D63" s="35" t="str">
        <f t="shared" si="6"/>
        <v/>
      </c>
      <c r="F63" s="34" t="str">
        <f t="shared" si="7"/>
        <v/>
      </c>
      <c r="G63" s="34" t="str">
        <f t="shared" ref="G63:AB63" si="11">IF(OR(G$14="",$E63=""),"",F63)</f>
        <v/>
      </c>
      <c r="H63" s="34" t="str">
        <f t="shared" si="11"/>
        <v/>
      </c>
      <c r="I63" s="34" t="str">
        <f t="shared" si="11"/>
        <v/>
      </c>
      <c r="J63" s="34" t="str">
        <f t="shared" si="11"/>
        <v/>
      </c>
      <c r="K63" s="34" t="str">
        <f t="shared" si="11"/>
        <v/>
      </c>
      <c r="L63" s="34" t="str">
        <f t="shared" si="11"/>
        <v/>
      </c>
      <c r="M63" s="34" t="str">
        <f t="shared" si="11"/>
        <v/>
      </c>
      <c r="N63" s="34" t="str">
        <f t="shared" si="11"/>
        <v/>
      </c>
      <c r="O63" s="34" t="str">
        <f t="shared" si="11"/>
        <v/>
      </c>
      <c r="P63" s="34" t="str">
        <f t="shared" si="11"/>
        <v/>
      </c>
      <c r="Q63" s="34" t="str">
        <f t="shared" si="11"/>
        <v/>
      </c>
      <c r="R63" s="34" t="str">
        <f t="shared" si="11"/>
        <v/>
      </c>
      <c r="S63" s="34" t="str">
        <f t="shared" si="11"/>
        <v/>
      </c>
      <c r="T63" s="34" t="str">
        <f t="shared" si="11"/>
        <v/>
      </c>
      <c r="U63" s="34" t="str">
        <f t="shared" si="11"/>
        <v/>
      </c>
      <c r="V63" s="34" t="str">
        <f t="shared" si="11"/>
        <v/>
      </c>
      <c r="W63" s="34" t="str">
        <f t="shared" si="11"/>
        <v/>
      </c>
      <c r="X63" s="34" t="str">
        <f t="shared" si="11"/>
        <v/>
      </c>
      <c r="Y63" s="34" t="str">
        <f t="shared" si="11"/>
        <v/>
      </c>
      <c r="Z63" s="34" t="str">
        <f t="shared" si="11"/>
        <v/>
      </c>
      <c r="AA63" s="34" t="str">
        <f t="shared" si="11"/>
        <v/>
      </c>
      <c r="AB63" s="34" t="str">
        <f t="shared" si="11"/>
        <v/>
      </c>
      <c r="AC63" s="34" t="str">
        <f t="shared" si="9"/>
        <v/>
      </c>
      <c r="AD63" s="34" t="str">
        <f t="shared" si="9"/>
        <v/>
      </c>
    </row>
    <row r="64" spans="3:30" x14ac:dyDescent="0.15">
      <c r="C64"/>
      <c r="D64" s="35" t="str">
        <f t="shared" si="6"/>
        <v/>
      </c>
    </row>
    <row r="65" spans="3:3" x14ac:dyDescent="0.15">
      <c r="C65"/>
    </row>
    <row r="66" spans="3:3" x14ac:dyDescent="0.15">
      <c r="C66"/>
    </row>
    <row r="67" spans="3:3" x14ac:dyDescent="0.15">
      <c r="C67"/>
    </row>
    <row r="68" spans="3:3" x14ac:dyDescent="0.15">
      <c r="C68"/>
    </row>
    <row r="69" spans="3:3" x14ac:dyDescent="0.15">
      <c r="C69"/>
    </row>
    <row r="70" spans="3:3" x14ac:dyDescent="0.15">
      <c r="C70"/>
    </row>
    <row r="71" spans="3:3" x14ac:dyDescent="0.15">
      <c r="C71"/>
    </row>
    <row r="72" spans="3:3" x14ac:dyDescent="0.15">
      <c r="C72"/>
    </row>
    <row r="73" spans="3:3" x14ac:dyDescent="0.15">
      <c r="C73"/>
    </row>
    <row r="74" spans="3:3" x14ac:dyDescent="0.15">
      <c r="C74"/>
    </row>
    <row r="75" spans="3:3" x14ac:dyDescent="0.15">
      <c r="C75"/>
    </row>
    <row r="76" spans="3:3" x14ac:dyDescent="0.15">
      <c r="C76"/>
    </row>
    <row r="77" spans="3:3" x14ac:dyDescent="0.15">
      <c r="C77"/>
    </row>
    <row r="78" spans="3:3" x14ac:dyDescent="0.15">
      <c r="C78"/>
    </row>
    <row r="79" spans="3:3" x14ac:dyDescent="0.15">
      <c r="C79"/>
    </row>
    <row r="80" spans="3:3" x14ac:dyDescent="0.15">
      <c r="C80"/>
    </row>
    <row r="81" spans="3:3" x14ac:dyDescent="0.15">
      <c r="C81"/>
    </row>
    <row r="82" spans="3:3" x14ac:dyDescent="0.15">
      <c r="C82"/>
    </row>
    <row r="83" spans="3:3" x14ac:dyDescent="0.15">
      <c r="C83"/>
    </row>
    <row r="84" spans="3:3" x14ac:dyDescent="0.15">
      <c r="C84"/>
    </row>
    <row r="85" spans="3:3" x14ac:dyDescent="0.15">
      <c r="C85"/>
    </row>
    <row r="86" spans="3:3" x14ac:dyDescent="0.15">
      <c r="C86"/>
    </row>
    <row r="87" spans="3:3" x14ac:dyDescent="0.15">
      <c r="C87"/>
    </row>
  </sheetData>
  <phoneticPr fontId="2" type="noConversion"/>
  <conditionalFormatting sqref="A15:AD5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 xr:uid="{190F152B-C666-8641-A32F-EE31C4739B8B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266700</xdr:colOff>
                    <xdr:row>5</xdr:row>
                    <xdr:rowOff>88900</xdr:rowOff>
                  </from>
                  <to>
                    <xdr:col>0</xdr:col>
                    <xdr:colOff>2298700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2578100</xdr:colOff>
                    <xdr:row>5</xdr:row>
                    <xdr:rowOff>88900</xdr:rowOff>
                  </from>
                  <to>
                    <xdr:col>2</xdr:col>
                    <xdr:colOff>342900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5E746-8F67-704B-A413-8D327F155924}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8.83203125" defaultRowHeight="13" x14ac:dyDescent="0.15"/>
  <cols>
    <col min="1" max="1" width="38.5" customWidth="1"/>
    <col min="2" max="2" width="8.5" style="2" customWidth="1"/>
    <col min="3" max="3" width="13.6640625" customWidth="1"/>
    <col min="4" max="4" width="10.83203125" customWidth="1"/>
    <col min="5" max="5" width="6.5" style="2" customWidth="1"/>
    <col min="6" max="30" width="4.5" style="2" customWidth="1"/>
  </cols>
  <sheetData>
    <row r="1" spans="1:30" ht="18" x14ac:dyDescent="0.2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15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15">
      <c r="A9" s="18" t="s">
        <v>12</v>
      </c>
      <c r="B9" s="36">
        <v>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15">
      <c r="A10" s="18" t="s">
        <v>29</v>
      </c>
      <c r="B10" s="36">
        <v>5</v>
      </c>
      <c r="C10" s="18" t="s">
        <v>30</v>
      </c>
      <c r="D10" s="18" t="s">
        <v>17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15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15">
      <c r="A12" s="56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15">
      <c r="A13" s="56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15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15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15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15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15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15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15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15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15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15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15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15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15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15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15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15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15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15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15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15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15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15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15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15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15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15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15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15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15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15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15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15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15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15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15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15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15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15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15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15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15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15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15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15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15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15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15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8F282A0C-993F-FB4D-8365-DF4149C7DCB8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266700</xdr:colOff>
                    <xdr:row>5</xdr:row>
                    <xdr:rowOff>88900</xdr:rowOff>
                  </from>
                  <to>
                    <xdr:col>0</xdr:col>
                    <xdr:colOff>1968500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2286000</xdr:colOff>
                    <xdr:row>5</xdr:row>
                    <xdr:rowOff>88900</xdr:rowOff>
                  </from>
                  <to>
                    <xdr:col>2</xdr:col>
                    <xdr:colOff>254000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84080-5E37-5D48-815A-19D2908A8639}">
  <sheetPr codeName="Sheet6">
    <pageSetUpPr fitToPage="1"/>
  </sheetPr>
  <dimension ref="A1:F30"/>
  <sheetViews>
    <sheetView workbookViewId="0">
      <selection activeCell="B6" sqref="B6"/>
    </sheetView>
  </sheetViews>
  <sheetFormatPr baseColWidth="10" defaultColWidth="9.1640625" defaultRowHeight="13" x14ac:dyDescent="0.15"/>
  <cols>
    <col min="1" max="3" width="9.1640625" style="35"/>
    <col min="4" max="4" width="32.6640625" style="35" customWidth="1"/>
    <col min="5" max="5" width="9.1640625" style="35"/>
    <col min="6" max="6" width="32.6640625" style="35" customWidth="1"/>
    <col min="7" max="16384" width="9.1640625" style="35"/>
  </cols>
  <sheetData>
    <row r="1" spans="1:6" x14ac:dyDescent="0.15">
      <c r="A1" s="84" t="s">
        <v>105</v>
      </c>
      <c r="B1" s="100">
        <v>1</v>
      </c>
      <c r="C1" s="85" t="s">
        <v>106</v>
      </c>
      <c r="D1" s="86" t="s">
        <v>87</v>
      </c>
      <c r="E1" s="86"/>
      <c r="F1" s="87"/>
    </row>
    <row r="2" spans="1:6" x14ac:dyDescent="0.15">
      <c r="A2" s="88" t="s">
        <v>107</v>
      </c>
      <c r="B2" s="81" t="s">
        <v>80</v>
      </c>
      <c r="C2" s="81"/>
      <c r="D2" s="81"/>
      <c r="E2" s="81"/>
      <c r="F2" s="89"/>
    </row>
    <row r="3" spans="1:6" x14ac:dyDescent="0.15">
      <c r="A3" s="90"/>
      <c r="B3" s="82"/>
      <c r="C3" s="82"/>
      <c r="D3" s="82"/>
      <c r="E3" s="82"/>
      <c r="F3" s="91"/>
    </row>
    <row r="4" spans="1:6" x14ac:dyDescent="0.15">
      <c r="A4" s="92"/>
      <c r="B4" s="83"/>
      <c r="C4" s="83"/>
      <c r="D4" s="83"/>
      <c r="E4" s="83"/>
      <c r="F4" s="93"/>
    </row>
    <row r="5" spans="1:6" x14ac:dyDescent="0.15">
      <c r="A5" s="98" t="str">
        <f>CONCATENATE("Responsible Person: ",Sp1!C15)</f>
        <v>Responsible Person: Danny Dev</v>
      </c>
      <c r="B5" s="80"/>
      <c r="C5" s="80"/>
      <c r="D5" s="80"/>
      <c r="E5" s="80"/>
      <c r="F5" s="99"/>
    </row>
    <row r="6" spans="1:6" ht="29" thickBot="1" x14ac:dyDescent="0.2">
      <c r="A6" s="94" t="s">
        <v>104</v>
      </c>
      <c r="B6" s="101">
        <v>5</v>
      </c>
      <c r="C6" s="96" t="s">
        <v>109</v>
      </c>
      <c r="D6" s="95"/>
      <c r="E6" s="96" t="s">
        <v>108</v>
      </c>
      <c r="F6" s="97"/>
    </row>
    <row r="8" spans="1:6" ht="14" thickBot="1" x14ac:dyDescent="0.2"/>
    <row r="9" spans="1:6" x14ac:dyDescent="0.15">
      <c r="A9" s="84" t="s">
        <v>105</v>
      </c>
      <c r="B9" s="100">
        <v>1</v>
      </c>
      <c r="C9" s="85" t="s">
        <v>106</v>
      </c>
      <c r="D9" s="86" t="s">
        <v>87</v>
      </c>
      <c r="E9" s="86"/>
      <c r="F9" s="87"/>
    </row>
    <row r="10" spans="1:6" x14ac:dyDescent="0.15">
      <c r="A10" s="88" t="s">
        <v>107</v>
      </c>
      <c r="B10" s="81" t="s">
        <v>81</v>
      </c>
      <c r="C10" s="81"/>
      <c r="D10" s="81"/>
      <c r="E10" s="81"/>
      <c r="F10" s="89"/>
    </row>
    <row r="11" spans="1:6" x14ac:dyDescent="0.15">
      <c r="A11" s="90"/>
      <c r="B11" s="82"/>
      <c r="C11" s="82"/>
      <c r="D11" s="82"/>
      <c r="E11" s="82"/>
      <c r="F11" s="91"/>
    </row>
    <row r="12" spans="1:6" x14ac:dyDescent="0.15">
      <c r="A12" s="92"/>
      <c r="B12" s="83"/>
      <c r="C12" s="83"/>
      <c r="D12" s="83"/>
      <c r="E12" s="83"/>
      <c r="F12" s="93"/>
    </row>
    <row r="13" spans="1:6" x14ac:dyDescent="0.15">
      <c r="A13" s="98" t="str">
        <f>CONCATENATE("Responsible Person: ",Sp1!C16)</f>
        <v>Responsible Person: Tina Tester</v>
      </c>
      <c r="B13" s="80"/>
      <c r="C13" s="80"/>
      <c r="D13" s="80"/>
      <c r="E13" s="80"/>
      <c r="F13" s="99"/>
    </row>
    <row r="14" spans="1:6" ht="29" thickBot="1" x14ac:dyDescent="0.2">
      <c r="A14" s="94" t="s">
        <v>104</v>
      </c>
      <c r="B14" s="101">
        <v>7</v>
      </c>
      <c r="C14" s="96" t="s">
        <v>109</v>
      </c>
      <c r="D14" s="95"/>
      <c r="E14" s="96" t="s">
        <v>108</v>
      </c>
      <c r="F14" s="97"/>
    </row>
    <row r="16" spans="1:6" ht="14" thickBot="1" x14ac:dyDescent="0.2"/>
    <row r="17" spans="1:6" x14ac:dyDescent="0.15">
      <c r="A17" s="84" t="s">
        <v>105</v>
      </c>
      <c r="B17" s="100">
        <v>2</v>
      </c>
      <c r="C17" s="85" t="s">
        <v>106</v>
      </c>
      <c r="D17" s="86" t="s">
        <v>88</v>
      </c>
      <c r="E17" s="86"/>
      <c r="F17" s="87"/>
    </row>
    <row r="18" spans="1:6" x14ac:dyDescent="0.15">
      <c r="A18" s="88" t="s">
        <v>107</v>
      </c>
      <c r="B18" s="81" t="s">
        <v>83</v>
      </c>
      <c r="C18" s="81"/>
      <c r="D18" s="81"/>
      <c r="E18" s="81"/>
      <c r="F18" s="89"/>
    </row>
    <row r="19" spans="1:6" x14ac:dyDescent="0.15">
      <c r="A19" s="90"/>
      <c r="B19" s="82"/>
      <c r="C19" s="82"/>
      <c r="D19" s="82"/>
      <c r="E19" s="82"/>
      <c r="F19" s="91"/>
    </row>
    <row r="20" spans="1:6" x14ac:dyDescent="0.15">
      <c r="A20" s="92"/>
      <c r="B20" s="83"/>
      <c r="C20" s="83"/>
      <c r="D20" s="83"/>
      <c r="E20" s="83"/>
      <c r="F20" s="93"/>
    </row>
    <row r="21" spans="1:6" x14ac:dyDescent="0.15">
      <c r="A21" s="98" t="str">
        <f>CONCATENATE("Responsible Person: ",Sp1!C17)</f>
        <v>Responsible Person: Danny Dev</v>
      </c>
      <c r="B21" s="80"/>
      <c r="C21" s="80"/>
      <c r="D21" s="80"/>
      <c r="E21" s="80"/>
      <c r="F21" s="99"/>
    </row>
    <row r="22" spans="1:6" ht="29" thickBot="1" x14ac:dyDescent="0.2">
      <c r="A22" s="94" t="s">
        <v>104</v>
      </c>
      <c r="B22" s="101">
        <v>12</v>
      </c>
      <c r="C22" s="96" t="s">
        <v>109</v>
      </c>
      <c r="D22" s="95"/>
      <c r="E22" s="96" t="s">
        <v>108</v>
      </c>
      <c r="F22" s="97"/>
    </row>
    <row r="24" spans="1:6" ht="14" thickBot="1" x14ac:dyDescent="0.2"/>
    <row r="25" spans="1:6" x14ac:dyDescent="0.15">
      <c r="A25" s="84" t="s">
        <v>105</v>
      </c>
      <c r="B25" s="100">
        <v>2</v>
      </c>
      <c r="C25" s="85" t="s">
        <v>106</v>
      </c>
      <c r="D25" s="86" t="s">
        <v>88</v>
      </c>
      <c r="E25" s="86"/>
      <c r="F25" s="87"/>
    </row>
    <row r="26" spans="1:6" x14ac:dyDescent="0.15">
      <c r="A26" s="88" t="s">
        <v>107</v>
      </c>
      <c r="B26" s="81" t="s">
        <v>84</v>
      </c>
      <c r="C26" s="81"/>
      <c r="D26" s="81"/>
      <c r="E26" s="81"/>
      <c r="F26" s="89"/>
    </row>
    <row r="27" spans="1:6" x14ac:dyDescent="0.15">
      <c r="A27" s="90"/>
      <c r="B27" s="82"/>
      <c r="C27" s="82"/>
      <c r="D27" s="82"/>
      <c r="E27" s="82"/>
      <c r="F27" s="91"/>
    </row>
    <row r="28" spans="1:6" x14ac:dyDescent="0.15">
      <c r="A28" s="92"/>
      <c r="B28" s="83"/>
      <c r="C28" s="83"/>
      <c r="D28" s="83"/>
      <c r="E28" s="83"/>
      <c r="F28" s="93"/>
    </row>
    <row r="29" spans="1:6" x14ac:dyDescent="0.15">
      <c r="A29" s="98" t="str">
        <f>CONCATENATE("Responsible Person: ",Sp1!C18)</f>
        <v xml:space="preserve">Responsible Person: </v>
      </c>
      <c r="B29" s="80"/>
      <c r="C29" s="80"/>
      <c r="D29" s="80"/>
      <c r="E29" s="80"/>
      <c r="F29" s="99"/>
    </row>
    <row r="30" spans="1:6" ht="29" thickBot="1" x14ac:dyDescent="0.2">
      <c r="A30" s="94" t="s">
        <v>104</v>
      </c>
      <c r="B30" s="101">
        <v>9</v>
      </c>
      <c r="C30" s="96" t="s">
        <v>109</v>
      </c>
      <c r="D30" s="95"/>
      <c r="E30" s="96" t="s">
        <v>108</v>
      </c>
      <c r="F30" s="97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1CD81-D57D-7F43-AD8F-6B6DAE74A512}">
  <dimension ref="A1:F14"/>
  <sheetViews>
    <sheetView workbookViewId="0">
      <selection activeCell="F23" sqref="F23"/>
    </sheetView>
  </sheetViews>
  <sheetFormatPr baseColWidth="10" defaultRowHeight="13" x14ac:dyDescent="0.15"/>
  <cols>
    <col min="3" max="3" width="44.5" customWidth="1"/>
    <col min="6" max="6" width="40.5" customWidth="1"/>
  </cols>
  <sheetData>
    <row r="1" spans="1:6" ht="14" customHeight="1" x14ac:dyDescent="0.15">
      <c r="A1" s="123" t="s">
        <v>110</v>
      </c>
      <c r="B1" s="124"/>
      <c r="C1" s="125"/>
      <c r="D1" s="126" t="s">
        <v>111</v>
      </c>
      <c r="E1" s="127"/>
      <c r="F1" s="128"/>
    </row>
    <row r="2" spans="1:6" ht="14" x14ac:dyDescent="0.15">
      <c r="A2" s="129"/>
      <c r="B2" s="130"/>
      <c r="C2" s="131"/>
      <c r="D2" s="129"/>
      <c r="E2" s="130"/>
      <c r="F2" s="132"/>
    </row>
    <row r="3" spans="1:6" ht="14" x14ac:dyDescent="0.15">
      <c r="A3" s="133"/>
      <c r="B3" s="134"/>
      <c r="C3" s="135"/>
      <c r="D3" s="133"/>
      <c r="E3" s="134"/>
      <c r="F3" s="136"/>
    </row>
    <row r="4" spans="1:6" ht="14" x14ac:dyDescent="0.15">
      <c r="A4" s="133"/>
      <c r="B4" s="134"/>
      <c r="C4" s="135"/>
      <c r="D4" s="133"/>
      <c r="E4" s="134"/>
      <c r="F4" s="136"/>
    </row>
    <row r="5" spans="1:6" ht="14" x14ac:dyDescent="0.15">
      <c r="A5" s="133"/>
      <c r="B5" s="134"/>
      <c r="C5" s="135"/>
      <c r="D5" s="133"/>
      <c r="E5" s="134"/>
      <c r="F5" s="136"/>
    </row>
    <row r="6" spans="1:6" ht="14" x14ac:dyDescent="0.15">
      <c r="A6" s="133"/>
      <c r="B6" s="134"/>
      <c r="C6" s="103"/>
      <c r="D6" s="133"/>
      <c r="E6" s="134"/>
      <c r="F6" s="104"/>
    </row>
    <row r="7" spans="1:6" ht="15" customHeight="1" x14ac:dyDescent="0.15">
      <c r="A7" s="137"/>
      <c r="B7" s="138"/>
      <c r="C7" s="105"/>
      <c r="D7" s="137"/>
      <c r="E7" s="138"/>
      <c r="F7" s="106"/>
    </row>
    <row r="8" spans="1:6" ht="14" customHeight="1" x14ac:dyDescent="0.15">
      <c r="A8" s="139" t="s">
        <v>112</v>
      </c>
      <c r="B8" s="140"/>
      <c r="C8" s="141"/>
      <c r="D8" s="142" t="s">
        <v>113</v>
      </c>
      <c r="E8" s="143"/>
      <c r="F8" s="144"/>
    </row>
    <row r="9" spans="1:6" ht="14" x14ac:dyDescent="0.15">
      <c r="A9" s="129"/>
      <c r="B9" s="130"/>
      <c r="C9" s="131"/>
      <c r="D9" s="129"/>
      <c r="E9" s="130"/>
      <c r="F9" s="132"/>
    </row>
    <row r="10" spans="1:6" ht="14" x14ac:dyDescent="0.15">
      <c r="A10" s="133"/>
      <c r="B10" s="134"/>
      <c r="C10" s="135"/>
      <c r="D10" s="133"/>
      <c r="E10" s="134"/>
      <c r="F10" s="136"/>
    </row>
    <row r="11" spans="1:6" ht="14" x14ac:dyDescent="0.15">
      <c r="A11" s="133"/>
      <c r="B11" s="134"/>
      <c r="C11" s="135"/>
      <c r="D11" s="133"/>
      <c r="E11" s="134"/>
      <c r="F11" s="136"/>
    </row>
    <row r="12" spans="1:6" ht="14" x14ac:dyDescent="0.15">
      <c r="A12" s="133"/>
      <c r="B12" s="134"/>
      <c r="C12" s="135"/>
      <c r="D12" s="133"/>
      <c r="E12" s="134"/>
      <c r="F12" s="136"/>
    </row>
    <row r="13" spans="1:6" ht="14" x14ac:dyDescent="0.15">
      <c r="A13" s="133"/>
      <c r="B13" s="134"/>
      <c r="C13" s="103"/>
      <c r="D13" s="133"/>
      <c r="E13" s="134"/>
      <c r="F13" s="104"/>
    </row>
    <row r="14" spans="1:6" ht="15" thickBot="1" x14ac:dyDescent="0.2">
      <c r="A14" s="145"/>
      <c r="B14" s="146"/>
      <c r="C14" s="107"/>
      <c r="D14" s="145"/>
      <c r="E14" s="146"/>
      <c r="F14" s="108"/>
    </row>
  </sheetData>
  <mergeCells count="28">
    <mergeCell ref="A13:B13"/>
    <mergeCell ref="D13:E13"/>
    <mergeCell ref="A14:B14"/>
    <mergeCell ref="D14:E14"/>
    <mergeCell ref="A10:C10"/>
    <mergeCell ref="D10:F10"/>
    <mergeCell ref="A11:C11"/>
    <mergeCell ref="D11:F11"/>
    <mergeCell ref="A12:C12"/>
    <mergeCell ref="D12:F12"/>
    <mergeCell ref="A7:B7"/>
    <mergeCell ref="D7:E7"/>
    <mergeCell ref="A8:C8"/>
    <mergeCell ref="D8:F8"/>
    <mergeCell ref="A9:C9"/>
    <mergeCell ref="D9:F9"/>
    <mergeCell ref="A4:C4"/>
    <mergeCell ref="D4:F4"/>
    <mergeCell ref="A5:C5"/>
    <mergeCell ref="D5:F5"/>
    <mergeCell ref="A6:B6"/>
    <mergeCell ref="D6:E6"/>
    <mergeCell ref="A1:C1"/>
    <mergeCell ref="D1:F1"/>
    <mergeCell ref="A2:C2"/>
    <mergeCell ref="D2:F2"/>
    <mergeCell ref="A3:C3"/>
    <mergeCell ref="D3:F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1D748-8152-B040-A27E-ECC87BCDF97E}">
  <dimension ref="A1:N16"/>
  <sheetViews>
    <sheetView workbookViewId="0">
      <selection activeCell="G23" sqref="G23"/>
    </sheetView>
  </sheetViews>
  <sheetFormatPr baseColWidth="10" defaultRowHeight="13" x14ac:dyDescent="0.15"/>
  <cols>
    <col min="7" max="7" width="14.6640625" customWidth="1"/>
  </cols>
  <sheetData>
    <row r="1" spans="1:14" ht="22" customHeight="1" x14ac:dyDescent="0.15">
      <c r="A1" s="1" t="s">
        <v>114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4" x14ac:dyDescent="0.15">
      <c r="A2" s="1"/>
      <c r="B2" s="109"/>
      <c r="C2" s="109"/>
      <c r="D2" s="109"/>
      <c r="E2" s="109"/>
      <c r="F2" s="109"/>
      <c r="H2" s="119" t="s">
        <v>133</v>
      </c>
    </row>
    <row r="3" spans="1:14" ht="14" x14ac:dyDescent="0.15">
      <c r="A3" s="109"/>
      <c r="B3" s="109"/>
      <c r="C3" s="109"/>
      <c r="D3" s="109"/>
      <c r="E3" s="109"/>
      <c r="F3" s="109"/>
      <c r="G3" s="118" t="s">
        <v>132</v>
      </c>
      <c r="H3" s="110" t="s">
        <v>115</v>
      </c>
      <c r="I3" s="110" t="s">
        <v>116</v>
      </c>
      <c r="J3" s="110" t="s">
        <v>117</v>
      </c>
      <c r="K3" s="110" t="s">
        <v>118</v>
      </c>
      <c r="L3" s="110" t="s">
        <v>119</v>
      </c>
      <c r="M3" s="110" t="s">
        <v>120</v>
      </c>
      <c r="N3" s="117" t="s">
        <v>121</v>
      </c>
    </row>
    <row r="4" spans="1:14" ht="14" x14ac:dyDescent="0.15">
      <c r="A4" s="111" t="s">
        <v>122</v>
      </c>
      <c r="B4" s="109"/>
      <c r="C4" s="109"/>
      <c r="D4" s="109"/>
      <c r="E4" s="109"/>
      <c r="F4" s="109"/>
      <c r="G4" s="110" t="s">
        <v>115</v>
      </c>
      <c r="H4" s="112"/>
      <c r="I4" s="113"/>
      <c r="J4" s="113"/>
      <c r="K4" s="113"/>
      <c r="L4" s="113"/>
      <c r="M4" s="113"/>
      <c r="N4" s="113"/>
    </row>
    <row r="5" spans="1:14" ht="14" x14ac:dyDescent="0.15">
      <c r="A5" s="111" t="s">
        <v>123</v>
      </c>
      <c r="B5" s="109"/>
      <c r="C5" s="109"/>
      <c r="D5" s="109"/>
      <c r="E5" s="109"/>
      <c r="F5" s="109"/>
      <c r="G5" s="110" t="s">
        <v>116</v>
      </c>
      <c r="H5" s="113"/>
      <c r="I5" s="112"/>
      <c r="J5" s="113"/>
      <c r="K5" s="113"/>
      <c r="L5" s="113"/>
      <c r="M5" s="113"/>
      <c r="N5" s="113"/>
    </row>
    <row r="6" spans="1:14" ht="14" x14ac:dyDescent="0.15">
      <c r="A6" s="111"/>
      <c r="B6" s="109"/>
      <c r="C6" s="109"/>
      <c r="D6" s="109"/>
      <c r="E6" s="109"/>
      <c r="F6" s="109"/>
      <c r="G6" s="110" t="s">
        <v>117</v>
      </c>
      <c r="H6" s="113"/>
      <c r="I6" s="113"/>
      <c r="J6" s="112"/>
      <c r="K6" s="113"/>
      <c r="L6" s="113"/>
      <c r="M6" s="113"/>
      <c r="N6" s="113"/>
    </row>
    <row r="7" spans="1:14" ht="14" x14ac:dyDescent="0.15">
      <c r="A7" s="111"/>
      <c r="B7" s="109"/>
      <c r="C7" s="109"/>
      <c r="D7" s="109"/>
      <c r="E7" s="109"/>
      <c r="F7" s="109"/>
      <c r="G7" s="110" t="s">
        <v>118</v>
      </c>
      <c r="H7" s="113"/>
      <c r="I7" s="113"/>
      <c r="J7" s="113"/>
      <c r="K7" s="112"/>
      <c r="L7" s="113"/>
      <c r="M7" s="113"/>
      <c r="N7" s="113"/>
    </row>
    <row r="8" spans="1:14" ht="14" x14ac:dyDescent="0.15">
      <c r="A8" s="111"/>
      <c r="B8" s="109"/>
      <c r="C8" s="109"/>
      <c r="D8" s="109"/>
      <c r="E8" s="109"/>
      <c r="F8" s="109"/>
      <c r="G8" s="110" t="s">
        <v>119</v>
      </c>
      <c r="H8" s="113"/>
      <c r="I8" s="113"/>
      <c r="J8" s="113"/>
      <c r="K8" s="113"/>
      <c r="L8" s="112"/>
      <c r="M8" s="113"/>
      <c r="N8" s="113"/>
    </row>
    <row r="9" spans="1:14" ht="14" x14ac:dyDescent="0.15">
      <c r="A9" s="111"/>
      <c r="B9" s="109"/>
      <c r="C9" s="109"/>
      <c r="D9" s="109"/>
      <c r="E9" s="109"/>
      <c r="F9" s="109"/>
      <c r="G9" s="110" t="s">
        <v>120</v>
      </c>
      <c r="H9" s="113"/>
      <c r="I9" s="113"/>
      <c r="J9" s="113"/>
      <c r="K9" s="113"/>
      <c r="L9" s="113"/>
      <c r="M9" s="112"/>
      <c r="N9" s="113"/>
    </row>
    <row r="10" spans="1:14" x14ac:dyDescent="0.15">
      <c r="G10" s="114" t="s">
        <v>121</v>
      </c>
      <c r="H10" s="115"/>
      <c r="I10" s="115"/>
      <c r="J10" s="115"/>
      <c r="K10" s="115"/>
      <c r="L10" s="115"/>
      <c r="M10" s="115"/>
      <c r="N10" s="112"/>
    </row>
    <row r="11" spans="1:14" x14ac:dyDescent="0.15">
      <c r="A11" s="111" t="s">
        <v>124</v>
      </c>
    </row>
    <row r="12" spans="1:14" x14ac:dyDescent="0.15">
      <c r="A12" s="111" t="s">
        <v>125</v>
      </c>
      <c r="H12" s="111" t="s">
        <v>126</v>
      </c>
    </row>
    <row r="13" spans="1:14" x14ac:dyDescent="0.15">
      <c r="A13" s="111" t="s">
        <v>127</v>
      </c>
      <c r="H13" s="111" t="s">
        <v>128</v>
      </c>
    </row>
    <row r="14" spans="1:14" x14ac:dyDescent="0.15">
      <c r="A14" s="111" t="s">
        <v>129</v>
      </c>
    </row>
    <row r="15" spans="1:14" x14ac:dyDescent="0.15">
      <c r="A15" s="111" t="s">
        <v>130</v>
      </c>
      <c r="H15" s="116"/>
      <c r="I15" s="35"/>
    </row>
    <row r="16" spans="1:14" x14ac:dyDescent="0.15">
      <c r="A16" s="111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25</vt:i4>
      </vt:variant>
    </vt:vector>
  </HeadingPairs>
  <TitlesOfParts>
    <vt:vector size="33" baseType="lpstr">
      <vt:lpstr>Release Plan</vt:lpstr>
      <vt:lpstr>Product Backlog</vt:lpstr>
      <vt:lpstr>PB Burndown</vt:lpstr>
      <vt:lpstr>Sp1</vt:lpstr>
      <vt:lpstr>Sprint Sheet Template</vt:lpstr>
      <vt:lpstr>Task Slips</vt:lpstr>
      <vt:lpstr>Sprint Retrospective</vt:lpstr>
      <vt:lpstr>Self-Evaluation</vt:lpstr>
      <vt:lpstr>'Product Backlog'!Área_de_impresión</vt:lpstr>
      <vt:lpstr>Sp1!DoneDays</vt:lpstr>
      <vt:lpstr>'Sprint Sheet Template'!DoneDays</vt:lpstr>
      <vt:lpstr>Sp1!ImplementationDays</vt:lpstr>
      <vt:lpstr>'Sprint Sheet Template'!ImplementationDays</vt:lpstr>
      <vt:lpstr>ProductBacklog</vt:lpstr>
      <vt:lpstr>Sprint</vt:lpstr>
      <vt:lpstr>SprintCount</vt:lpstr>
      <vt:lpstr>SprintsInTrend</vt:lpstr>
      <vt:lpstr>Sp1!SprintTasks</vt:lpstr>
      <vt:lpstr>SprintTasks</vt:lpstr>
      <vt:lpstr>Status</vt:lpstr>
      <vt:lpstr>StoryName</vt:lpstr>
      <vt:lpstr>Sp1!TaskRows</vt:lpstr>
      <vt:lpstr>'Sprint Sheet Template'!TaskRows</vt:lpstr>
      <vt:lpstr>Sp1!TaskStatus</vt:lpstr>
      <vt:lpstr>TaskStatus</vt:lpstr>
      <vt:lpstr>Sp1!TaskStoryID</vt:lpstr>
      <vt:lpstr>TaskStoryID</vt:lpstr>
      <vt:lpstr>Sp1!TotalEffort</vt:lpstr>
      <vt:lpstr>'Sprint Sheet Template'!TotalEffort</vt:lpstr>
      <vt:lpstr>Sp1!TrendDays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eloi@maia.ub.es</cp:lastModifiedBy>
  <cp:revision>1</cp:revision>
  <cp:lastPrinted>2006-09-01T14:59:00Z</cp:lastPrinted>
  <dcterms:created xsi:type="dcterms:W3CDTF">1998-06-05T11:20:44Z</dcterms:created>
  <dcterms:modified xsi:type="dcterms:W3CDTF">2025-11-04T10:27:13Z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