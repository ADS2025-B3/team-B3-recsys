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team-B3-recsys\"/>
    </mc:Choice>
  </mc:AlternateContent>
  <xr:revisionPtr revIDLastSave="0" documentId="13_ncr:1_{B21B616C-BEAC-482F-9E19-578EA92363EC}" xr6:coauthVersionLast="47" xr6:coauthVersionMax="47" xr10:uidLastSave="{00000000-0000-0000-0000-000000000000}"/>
  <bookViews>
    <workbookView xWindow="-120" yWindow="-120" windowWidth="38640" windowHeight="21120" tabRatio="765" activeTab="3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Task Slips" sheetId="21" r:id="rId5"/>
    <sheet name="Sprint Retrospective" sheetId="22" r:id="rId6"/>
    <sheet name="Self-Evaluation" sheetId="23" r:id="rId7"/>
    <sheet name="Sprint Sheet Template" sheetId="16" r:id="rId8"/>
  </sheets>
  <definedNames>
    <definedName name="_xlnm.Print_Area" localSheetId="1">'Product Backlog'!$A:$G</definedName>
    <definedName name="_xlnm.Print_Area" localSheetId="4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7">'Sprint Sheet Template'!$D$11</definedName>
    <definedName name="DoneDays">#REF!</definedName>
    <definedName name="ImplementationDays" localSheetId="3">'Sp1'!$B$9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Backlog'!$A$4:$G$166</definedName>
    <definedName name="RealizedSpeed">OFFSET('PB Burndown'!$D$27,1,0,'PB Burndown'!$G$3,1)</definedName>
    <definedName name="RealValues" localSheetId="3">OFFSET('Sp1'!$F$10,0,0,1,'Sp1'!DoneDays)</definedName>
    <definedName name="RealValues" localSheetId="7">OFFSET('Sprint Sheet Template'!$F$10,0,0,1,'Sprint Sheet Template'!DoneDays)</definedName>
    <definedName name="Sprint">'Product Backlog'!$E$5:$E$166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'Sprint Sheet Template'!$A$14:$AD$63</definedName>
    <definedName name="Status">'Product Backlog'!$C$5:$C$166</definedName>
    <definedName name="StoryName">'Product Backlog'!$B$5:$B$166</definedName>
    <definedName name="TaskRows" localSheetId="3">'Sp1'!$B$11</definedName>
    <definedName name="TaskRows" localSheetId="7">'Sprint Sheet Template'!$B$11</definedName>
    <definedName name="TaskRows">#REF!</definedName>
    <definedName name="TaskStatus" localSheetId="3">'Sp1'!$D$14:$D$58</definedName>
    <definedName name="TaskStatus">'Sprint Sheet Template'!$D$14:$D$58</definedName>
    <definedName name="TaskStoryID" localSheetId="3">'Sp1'!$B$14:$B$53</definedName>
    <definedName name="TaskStoryID">'Sprint Sheet Template'!$B$14:$B$53</definedName>
    <definedName name="TotalEffort" localSheetId="3">'Sp1'!$E$10</definedName>
    <definedName name="TotalEffort" localSheetId="7">'Sprint Sheet Template'!$E$10</definedName>
    <definedName name="TotalEffort">#REF!</definedName>
    <definedName name="TrendDays" localSheetId="3">'Sp1'!$D$13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7" l="1"/>
  <c r="A5" i="21"/>
  <c r="E17" i="7"/>
  <c r="E18" i="7"/>
  <c r="G4" i="20" l="1"/>
  <c r="E16" i="7"/>
  <c r="E4" i="7"/>
  <c r="B17" i="7"/>
  <c r="B28" i="20"/>
  <c r="F28" i="20"/>
  <c r="G28" i="20" s="1"/>
  <c r="G5" i="20"/>
  <c r="G14" i="19"/>
  <c r="H14" i="19" s="1"/>
  <c r="F18" i="7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5" i="20"/>
  <c r="D17" i="20"/>
  <c r="D16" i="20"/>
  <c r="E28" i="20"/>
  <c r="H28" i="20"/>
  <c r="E31" i="7"/>
  <c r="B11" i="19"/>
  <c r="I10" i="19" s="1"/>
  <c r="G10" i="19"/>
  <c r="D16" i="19"/>
  <c r="F16" i="19"/>
  <c r="D17" i="19"/>
  <c r="F17" i="19"/>
  <c r="D18" i="19"/>
  <c r="F18" i="19"/>
  <c r="D19" i="19"/>
  <c r="F19" i="19"/>
  <c r="D20" i="19"/>
  <c r="F20" i="19"/>
  <c r="D21" i="19"/>
  <c r="F21" i="19"/>
  <c r="D22" i="19"/>
  <c r="F22" i="19"/>
  <c r="D23" i="19"/>
  <c r="F23" i="19"/>
  <c r="D24" i="19"/>
  <c r="F24" i="19"/>
  <c r="D25" i="19"/>
  <c r="F25" i="19"/>
  <c r="D26" i="19"/>
  <c r="F26" i="19"/>
  <c r="D27" i="19"/>
  <c r="F27" i="19"/>
  <c r="D28" i="19"/>
  <c r="F28" i="19"/>
  <c r="D29" i="19"/>
  <c r="F29" i="19"/>
  <c r="D30" i="19"/>
  <c r="F30" i="19"/>
  <c r="D31" i="19"/>
  <c r="F31" i="19"/>
  <c r="D32" i="19"/>
  <c r="F32" i="19"/>
  <c r="D33" i="19"/>
  <c r="F33" i="19"/>
  <c r="D34" i="19"/>
  <c r="F34" i="19"/>
  <c r="D35" i="19"/>
  <c r="F35" i="19"/>
  <c r="D36" i="19"/>
  <c r="F36" i="19"/>
  <c r="D37" i="19"/>
  <c r="F37" i="19"/>
  <c r="D38" i="19"/>
  <c r="F38" i="19"/>
  <c r="D64" i="19"/>
  <c r="B11" i="16"/>
  <c r="S10" i="16" s="1"/>
  <c r="F15" i="16"/>
  <c r="F16" i="16"/>
  <c r="F17" i="16"/>
  <c r="F18" i="16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 s="1"/>
  <c r="AD10" i="16"/>
  <c r="AB10" i="16"/>
  <c r="AA10" i="16"/>
  <c r="O10" i="16"/>
  <c r="J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G58" i="16"/>
  <c r="K28" i="20"/>
  <c r="D10" i="20"/>
  <c r="P48" i="20" s="1"/>
  <c r="M10" i="16"/>
  <c r="Y10" i="16"/>
  <c r="E10" i="16"/>
  <c r="F11" i="16" s="1"/>
  <c r="N10" i="16"/>
  <c r="B29" i="20"/>
  <c r="I14" i="16"/>
  <c r="H59" i="16"/>
  <c r="H58" i="16"/>
  <c r="AB10" i="19" l="1"/>
  <c r="AA10" i="19"/>
  <c r="E10" i="19"/>
  <c r="G11" i="19" s="1"/>
  <c r="F10" i="19"/>
  <c r="L10" i="19"/>
  <c r="K10" i="19"/>
  <c r="V10" i="19"/>
  <c r="W10" i="19"/>
  <c r="J10" i="19"/>
  <c r="X10" i="19"/>
  <c r="R10" i="19"/>
  <c r="T10" i="19"/>
  <c r="U10" i="19"/>
  <c r="K10" i="16"/>
  <c r="L10" i="16"/>
  <c r="Z10" i="16"/>
  <c r="AC10" i="16"/>
  <c r="P10" i="16"/>
  <c r="T10" i="16"/>
  <c r="U10" i="16"/>
  <c r="H10" i="16"/>
  <c r="W10" i="16"/>
  <c r="Q10" i="16"/>
  <c r="R10" i="16"/>
  <c r="G10" i="16"/>
  <c r="V10" i="16"/>
  <c r="F10" i="16"/>
  <c r="I10" i="16"/>
  <c r="X10" i="16"/>
  <c r="P51" i="20"/>
  <c r="P38" i="20"/>
  <c r="P30" i="20"/>
  <c r="P29" i="20"/>
  <c r="P36" i="20"/>
  <c r="G37" i="19"/>
  <c r="G38" i="19"/>
  <c r="G6" i="20"/>
  <c r="D8" i="20"/>
  <c r="D17" i="7"/>
  <c r="B18" i="7"/>
  <c r="H38" i="19"/>
  <c r="I14" i="19"/>
  <c r="H37" i="19"/>
  <c r="E5" i="7"/>
  <c r="J14" i="16"/>
  <c r="I58" i="16"/>
  <c r="I59" i="16"/>
  <c r="E29" i="20"/>
  <c r="I29" i="20"/>
  <c r="H29" i="20" s="1"/>
  <c r="F29" i="20"/>
  <c r="B30" i="20"/>
  <c r="D4" i="7"/>
  <c r="B5" i="7"/>
  <c r="D5" i="7" s="1"/>
  <c r="M10" i="19"/>
  <c r="S10" i="19"/>
  <c r="Z10" i="19"/>
  <c r="P10" i="19"/>
  <c r="Y10" i="19"/>
  <c r="Q10" i="19"/>
  <c r="N10" i="19"/>
  <c r="H10" i="19"/>
  <c r="O10" i="19"/>
  <c r="P39" i="20"/>
  <c r="G59" i="16"/>
  <c r="P50" i="20"/>
  <c r="P46" i="20"/>
  <c r="H11" i="16"/>
  <c r="G11" i="16"/>
  <c r="D11" i="20"/>
  <c r="Q50" i="20" s="1"/>
  <c r="I11" i="16"/>
  <c r="P42" i="20"/>
  <c r="P31" i="20"/>
  <c r="P47" i="20"/>
  <c r="P34" i="20"/>
  <c r="P44" i="20"/>
  <c r="P49" i="20"/>
  <c r="P35" i="20"/>
  <c r="P45" i="20"/>
  <c r="P28" i="20"/>
  <c r="P41" i="20"/>
  <c r="P43" i="20"/>
  <c r="P37" i="20"/>
  <c r="P32" i="20"/>
  <c r="P33" i="20"/>
  <c r="P40" i="20"/>
  <c r="H11" i="19" l="1"/>
  <c r="F11" i="19"/>
  <c r="D11" i="16"/>
  <c r="D13" i="16" s="1"/>
  <c r="Q32" i="20"/>
  <c r="Q49" i="20"/>
  <c r="Q42" i="20"/>
  <c r="Q40" i="20"/>
  <c r="Q51" i="20"/>
  <c r="Q34" i="20"/>
  <c r="Q36" i="20"/>
  <c r="Q39" i="20"/>
  <c r="Q44" i="20"/>
  <c r="J14" i="19"/>
  <c r="I37" i="19"/>
  <c r="I38" i="19"/>
  <c r="K29" i="20"/>
  <c r="G29" i="20"/>
  <c r="Q41" i="20"/>
  <c r="J58" i="16"/>
  <c r="J11" i="16"/>
  <c r="J59" i="16"/>
  <c r="K14" i="16"/>
  <c r="E30" i="20"/>
  <c r="I30" i="20"/>
  <c r="F30" i="20"/>
  <c r="B31" i="20"/>
  <c r="D18" i="7"/>
  <c r="B19" i="7"/>
  <c r="Q35" i="20"/>
  <c r="Q48" i="20"/>
  <c r="Q47" i="20"/>
  <c r="Q43" i="20"/>
  <c r="I11" i="19"/>
  <c r="Q37" i="20"/>
  <c r="Q28" i="20"/>
  <c r="Q33" i="20"/>
  <c r="Q46" i="20"/>
  <c r="Q31" i="20"/>
  <c r="Q38" i="20"/>
  <c r="Q45" i="20"/>
  <c r="Q30" i="20"/>
  <c r="Q29" i="20"/>
  <c r="F13" i="16" l="1"/>
  <c r="K12" i="16" s="1"/>
  <c r="X12" i="16"/>
  <c r="I12" i="16"/>
  <c r="J12" i="16"/>
  <c r="Z12" i="16"/>
  <c r="AD12" i="16"/>
  <c r="S12" i="16"/>
  <c r="Q12" i="16"/>
  <c r="AB12" i="16"/>
  <c r="L12" i="16"/>
  <c r="Y12" i="16"/>
  <c r="D19" i="7"/>
  <c r="B20" i="7"/>
  <c r="E31" i="20"/>
  <c r="I31" i="20"/>
  <c r="H31" i="20" s="1"/>
  <c r="F31" i="20"/>
  <c r="B32" i="20"/>
  <c r="K30" i="20"/>
  <c r="G30" i="20"/>
  <c r="K11" i="16"/>
  <c r="K58" i="16"/>
  <c r="K59" i="16"/>
  <c r="L14" i="16"/>
  <c r="N38" i="20"/>
  <c r="N30" i="20"/>
  <c r="N35" i="20"/>
  <c r="N39" i="20"/>
  <c r="N41" i="20"/>
  <c r="N50" i="20"/>
  <c r="N33" i="20"/>
  <c r="L33" i="20" s="1"/>
  <c r="H30" i="20"/>
  <c r="N40" i="20"/>
  <c r="L40" i="20" s="1"/>
  <c r="N36" i="20"/>
  <c r="L36" i="20" s="1"/>
  <c r="N47" i="20"/>
  <c r="L47" i="20" s="1"/>
  <c r="N51" i="20"/>
  <c r="L51" i="20" s="1"/>
  <c r="N42" i="20"/>
  <c r="N37" i="20"/>
  <c r="N32" i="20"/>
  <c r="N45" i="20"/>
  <c r="N46" i="20"/>
  <c r="N34" i="20"/>
  <c r="L34" i="20" s="1"/>
  <c r="N29" i="20"/>
  <c r="L29" i="20" s="1"/>
  <c r="N44" i="20"/>
  <c r="L44" i="20" s="1"/>
  <c r="N48" i="20"/>
  <c r="L48" i="20" s="1"/>
  <c r="N49" i="20"/>
  <c r="L49" i="20" s="1"/>
  <c r="N31" i="20"/>
  <c r="L31" i="20" s="1"/>
  <c r="N43" i="20"/>
  <c r="L43" i="20" s="1"/>
  <c r="N28" i="20"/>
  <c r="J37" i="19"/>
  <c r="J38" i="19"/>
  <c r="K14" i="19"/>
  <c r="J11" i="19"/>
  <c r="U12" i="16" l="1"/>
  <c r="T12" i="16"/>
  <c r="W12" i="16"/>
  <c r="R12" i="16"/>
  <c r="H12" i="16"/>
  <c r="F12" i="16"/>
  <c r="AA12" i="16"/>
  <c r="AC12" i="16"/>
  <c r="O12" i="16"/>
  <c r="G12" i="16"/>
  <c r="N12" i="16"/>
  <c r="P12" i="16"/>
  <c r="M12" i="16"/>
  <c r="V12" i="16"/>
  <c r="M49" i="20"/>
  <c r="M34" i="20"/>
  <c r="F32" i="20"/>
  <c r="E32" i="20"/>
  <c r="B33" i="20"/>
  <c r="I32" i="20"/>
  <c r="H32" i="20" s="1"/>
  <c r="L46" i="20"/>
  <c r="K31" i="20"/>
  <c r="G31" i="20"/>
  <c r="K37" i="19"/>
  <c r="K38" i="19"/>
  <c r="L14" i="19"/>
  <c r="K11" i="19"/>
  <c r="L39" i="20"/>
  <c r="L32" i="20"/>
  <c r="M32" i="20" s="1"/>
  <c r="L35" i="20"/>
  <c r="M35" i="20" s="1"/>
  <c r="M48" i="20"/>
  <c r="L30" i="20"/>
  <c r="M30" i="20" s="1"/>
  <c r="D20" i="7"/>
  <c r="B21" i="7"/>
  <c r="L58" i="16"/>
  <c r="M14" i="16"/>
  <c r="L59" i="16"/>
  <c r="L11" i="16"/>
  <c r="M44" i="20"/>
  <c r="L50" i="20"/>
  <c r="M50" i="20" s="1"/>
  <c r="L41" i="20"/>
  <c r="M41" i="20" s="1"/>
  <c r="L45" i="20"/>
  <c r="M45" i="20" s="1"/>
  <c r="L37" i="20"/>
  <c r="M37" i="20" s="1"/>
  <c r="L28" i="20"/>
  <c r="M28" i="20" s="1"/>
  <c r="L42" i="20"/>
  <c r="L38" i="20"/>
  <c r="M38" i="20" l="1"/>
  <c r="M29" i="20"/>
  <c r="D12" i="20" s="1"/>
  <c r="M39" i="20"/>
  <c r="M46" i="20"/>
  <c r="M33" i="20"/>
  <c r="M47" i="20"/>
  <c r="B34" i="20"/>
  <c r="I33" i="20"/>
  <c r="H33" i="20" s="1"/>
  <c r="F33" i="20"/>
  <c r="E33" i="20"/>
  <c r="K32" i="20"/>
  <c r="G32" i="20"/>
  <c r="L11" i="19"/>
  <c r="L37" i="19"/>
  <c r="M14" i="19"/>
  <c r="L38" i="19"/>
  <c r="M40" i="20"/>
  <c r="N14" i="16"/>
  <c r="M11" i="16"/>
  <c r="M58" i="16"/>
  <c r="M59" i="16"/>
  <c r="M42" i="20"/>
  <c r="M51" i="20"/>
  <c r="M36" i="20"/>
  <c r="B22" i="7"/>
  <c r="D21" i="7"/>
  <c r="M31" i="20"/>
  <c r="M43" i="20"/>
  <c r="G9" i="20" l="1"/>
  <c r="D22" i="20"/>
  <c r="K33" i="20"/>
  <c r="G33" i="20"/>
  <c r="B35" i="20"/>
  <c r="I34" i="20"/>
  <c r="H34" i="20" s="1"/>
  <c r="E34" i="20"/>
  <c r="F34" i="20"/>
  <c r="B23" i="7"/>
  <c r="D22" i="7"/>
  <c r="A22" i="7"/>
  <c r="E22" i="7" s="1"/>
  <c r="M37" i="19"/>
  <c r="M11" i="19"/>
  <c r="M38" i="19"/>
  <c r="N14" i="19"/>
  <c r="N11" i="16"/>
  <c r="N58" i="16"/>
  <c r="N59" i="16"/>
  <c r="O14" i="16"/>
  <c r="A23" i="7" l="1"/>
  <c r="E23" i="7" s="1"/>
  <c r="B24" i="7"/>
  <c r="D23" i="7"/>
  <c r="G34" i="20"/>
  <c r="K34" i="20"/>
  <c r="B36" i="20"/>
  <c r="I35" i="20"/>
  <c r="H35" i="20" s="1"/>
  <c r="E35" i="20"/>
  <c r="F35" i="20"/>
  <c r="P14" i="16"/>
  <c r="O11" i="16"/>
  <c r="O59" i="16"/>
  <c r="O58" i="16"/>
  <c r="O14" i="19"/>
  <c r="N11" i="19"/>
  <c r="N38" i="19"/>
  <c r="N37" i="19"/>
  <c r="G35" i="20" l="1"/>
  <c r="K35" i="20"/>
  <c r="Q14" i="16"/>
  <c r="P11" i="16"/>
  <c r="P59" i="16"/>
  <c r="P58" i="16"/>
  <c r="E36" i="20"/>
  <c r="F36" i="20"/>
  <c r="I36" i="20"/>
  <c r="H36" i="20" s="1"/>
  <c r="B37" i="20"/>
  <c r="A24" i="7"/>
  <c r="E24" i="7" s="1"/>
  <c r="D24" i="7"/>
  <c r="B25" i="7"/>
  <c r="O37" i="19"/>
  <c r="P14" i="19"/>
  <c r="O11" i="19"/>
  <c r="O38" i="19"/>
  <c r="K36" i="20" l="1"/>
  <c r="G36" i="20"/>
  <c r="B38" i="20"/>
  <c r="I37" i="20"/>
  <c r="H37" i="20" s="1"/>
  <c r="E37" i="20"/>
  <c r="F37" i="20"/>
  <c r="P11" i="19"/>
  <c r="P37" i="19"/>
  <c r="P38" i="19"/>
  <c r="Q14" i="19"/>
  <c r="Q11" i="16"/>
  <c r="R14" i="16"/>
  <c r="Q58" i="16"/>
  <c r="Q59" i="16"/>
  <c r="A25" i="7"/>
  <c r="E25" i="7" s="1"/>
  <c r="B26" i="7"/>
  <c r="D25" i="7"/>
  <c r="S14" i="16" l="1"/>
  <c r="R11" i="16"/>
  <c r="R58" i="16"/>
  <c r="R59" i="16"/>
  <c r="Q38" i="19"/>
  <c r="Q37" i="19"/>
  <c r="R14" i="19"/>
  <c r="Q11" i="19"/>
  <c r="E38" i="20"/>
  <c r="F38" i="20"/>
  <c r="B39" i="20"/>
  <c r="I38" i="20"/>
  <c r="H38" i="20" s="1"/>
  <c r="K37" i="20"/>
  <c r="G37" i="20"/>
  <c r="B27" i="7"/>
  <c r="D26" i="7"/>
  <c r="A26" i="7"/>
  <c r="E26" i="7" s="1"/>
  <c r="I39" i="20" l="1"/>
  <c r="H39" i="20" s="1"/>
  <c r="E39" i="20"/>
  <c r="B40" i="20"/>
  <c r="F39" i="20"/>
  <c r="A27" i="7"/>
  <c r="E27" i="7" s="1"/>
  <c r="B28" i="7"/>
  <c r="D27" i="7"/>
  <c r="K38" i="20"/>
  <c r="G38" i="20"/>
  <c r="R38" i="19"/>
  <c r="R37" i="19"/>
  <c r="S14" i="19"/>
  <c r="R11" i="19"/>
  <c r="G3" i="20"/>
  <c r="S58" i="16"/>
  <c r="T14" i="16"/>
  <c r="S59" i="16"/>
  <c r="S11" i="16"/>
  <c r="B29" i="7" l="1"/>
  <c r="A28" i="7"/>
  <c r="E28" i="7" s="1"/>
  <c r="D28" i="7"/>
  <c r="G39" i="20"/>
  <c r="K39" i="20"/>
  <c r="F40" i="20"/>
  <c r="E40" i="20"/>
  <c r="B41" i="20"/>
  <c r="I40" i="20"/>
  <c r="H40" i="20" s="1"/>
  <c r="S11" i="19"/>
  <c r="S37" i="19"/>
  <c r="S38" i="19"/>
  <c r="T14" i="19"/>
  <c r="D9" i="20"/>
  <c r="G19" i="20"/>
  <c r="G20" i="20"/>
  <c r="D20" i="20"/>
  <c r="D18" i="20"/>
  <c r="D21" i="20"/>
  <c r="U14" i="16"/>
  <c r="T59" i="16"/>
  <c r="T11" i="16"/>
  <c r="T58" i="16"/>
  <c r="G40" i="20" l="1"/>
  <c r="K40" i="20"/>
  <c r="U59" i="16"/>
  <c r="V14" i="16"/>
  <c r="U11" i="16"/>
  <c r="U58" i="16"/>
  <c r="E41" i="20"/>
  <c r="B42" i="20"/>
  <c r="I41" i="20"/>
  <c r="H41" i="20" s="1"/>
  <c r="F41" i="20"/>
  <c r="O49" i="20"/>
  <c r="D23" i="20"/>
  <c r="O36" i="20"/>
  <c r="O44" i="20"/>
  <c r="O41" i="20"/>
  <c r="D24" i="20"/>
  <c r="O42" i="20"/>
  <c r="O50" i="20"/>
  <c r="O47" i="20"/>
  <c r="O35" i="20"/>
  <c r="O40" i="20"/>
  <c r="O43" i="20"/>
  <c r="O30" i="20"/>
  <c r="O33" i="20"/>
  <c r="D19" i="20"/>
  <c r="O31" i="20"/>
  <c r="O39" i="20"/>
  <c r="O45" i="20"/>
  <c r="O51" i="20"/>
  <c r="O28" i="20"/>
  <c r="O34" i="20"/>
  <c r="O46" i="20"/>
  <c r="O32" i="20"/>
  <c r="O37" i="20"/>
  <c r="O38" i="20"/>
  <c r="O29" i="20"/>
  <c r="O48" i="20"/>
  <c r="T38" i="19"/>
  <c r="T37" i="19"/>
  <c r="U14" i="19"/>
  <c r="T11" i="19"/>
  <c r="A29" i="7"/>
  <c r="E29" i="7" s="1"/>
  <c r="B30" i="7"/>
  <c r="D29" i="7"/>
  <c r="D30" i="7" l="1"/>
  <c r="A30" i="7"/>
  <c r="E30" i="7" s="1"/>
  <c r="V59" i="16"/>
  <c r="W14" i="16"/>
  <c r="V11" i="16"/>
  <c r="V58" i="16"/>
  <c r="U37" i="19"/>
  <c r="U38" i="19"/>
  <c r="V14" i="19"/>
  <c r="U11" i="19"/>
  <c r="K41" i="20"/>
  <c r="G41" i="20"/>
  <c r="E42" i="20"/>
  <c r="B43" i="20"/>
  <c r="I42" i="20"/>
  <c r="H42" i="20" s="1"/>
  <c r="F42" i="20"/>
  <c r="V37" i="19" l="1"/>
  <c r="V38" i="19"/>
  <c r="W14" i="19"/>
  <c r="V11" i="19"/>
  <c r="W58" i="16"/>
  <c r="W11" i="16"/>
  <c r="W59" i="16"/>
  <c r="X14" i="16"/>
  <c r="G42" i="20"/>
  <c r="K42" i="20"/>
  <c r="F43" i="20"/>
  <c r="I43" i="20"/>
  <c r="H43" i="20" s="1"/>
  <c r="E43" i="20"/>
  <c r="B44" i="20"/>
  <c r="G43" i="20" l="1"/>
  <c r="K43" i="20"/>
  <c r="Y14" i="16"/>
  <c r="X11" i="16"/>
  <c r="X58" i="16"/>
  <c r="X59" i="16"/>
  <c r="W11" i="19"/>
  <c r="W38" i="19"/>
  <c r="X14" i="19"/>
  <c r="W37" i="19"/>
  <c r="B45" i="20"/>
  <c r="I44" i="20"/>
  <c r="H44" i="20" s="1"/>
  <c r="F44" i="20"/>
  <c r="E44" i="20"/>
  <c r="I45" i="20" l="1"/>
  <c r="H45" i="20" s="1"/>
  <c r="B46" i="20"/>
  <c r="F45" i="20"/>
  <c r="E45" i="20"/>
  <c r="Y14" i="19"/>
  <c r="X38" i="19"/>
  <c r="X11" i="19"/>
  <c r="X37" i="19"/>
  <c r="Z14" i="16"/>
  <c r="Y59" i="16"/>
  <c r="Y58" i="16"/>
  <c r="Y11" i="16"/>
  <c r="K44" i="20"/>
  <c r="G44" i="20"/>
  <c r="Z58" i="16" l="1"/>
  <c r="Z11" i="16"/>
  <c r="AA14" i="16"/>
  <c r="Z59" i="16"/>
  <c r="K45" i="20"/>
  <c r="G45" i="20"/>
  <c r="Y37" i="19"/>
  <c r="Y11" i="19"/>
  <c r="Z14" i="19"/>
  <c r="Y38" i="19"/>
  <c r="E46" i="20"/>
  <c r="I46" i="20"/>
  <c r="H46" i="20" s="1"/>
  <c r="B47" i="20"/>
  <c r="F46" i="20"/>
  <c r="Z11" i="19" l="1"/>
  <c r="AA14" i="19"/>
  <c r="Z37" i="19"/>
  <c r="Z38" i="19"/>
  <c r="AB14" i="16"/>
  <c r="AA58" i="16"/>
  <c r="AA11" i="16"/>
  <c r="AA59" i="16"/>
  <c r="K46" i="20"/>
  <c r="G46" i="20"/>
  <c r="F47" i="20"/>
  <c r="B48" i="20"/>
  <c r="I47" i="20"/>
  <c r="H47" i="20" s="1"/>
  <c r="E47" i="20"/>
  <c r="AB58" i="16" l="1"/>
  <c r="AB11" i="16"/>
  <c r="AC14" i="16"/>
  <c r="AB59" i="16"/>
  <c r="I48" i="20"/>
  <c r="H48" i="20" s="1"/>
  <c r="E48" i="20"/>
  <c r="B49" i="20"/>
  <c r="F48" i="20"/>
  <c r="AB14" i="19"/>
  <c r="AA37" i="19"/>
  <c r="AA38" i="19"/>
  <c r="AA11" i="19"/>
  <c r="G47" i="20"/>
  <c r="K47" i="20"/>
  <c r="G48" i="20" l="1"/>
  <c r="K48" i="20"/>
  <c r="AC47" i="16"/>
  <c r="AC43" i="16"/>
  <c r="AC37" i="16"/>
  <c r="AC20" i="16"/>
  <c r="AC17" i="16"/>
  <c r="AC50" i="16"/>
  <c r="AC54" i="16"/>
  <c r="AC16" i="16"/>
  <c r="AC56" i="16"/>
  <c r="AC27" i="16"/>
  <c r="AC11" i="16"/>
  <c r="AC53" i="16"/>
  <c r="AC52" i="16"/>
  <c r="AC18" i="16"/>
  <c r="AC59" i="16"/>
  <c r="AC32" i="16"/>
  <c r="AC36" i="16"/>
  <c r="AC31" i="16"/>
  <c r="AC35" i="16"/>
  <c r="AC49" i="16"/>
  <c r="AC38" i="16"/>
  <c r="AC42" i="16"/>
  <c r="AC40" i="16"/>
  <c r="AC51" i="16"/>
  <c r="AC22" i="16"/>
  <c r="AC33" i="16"/>
  <c r="AC41" i="16"/>
  <c r="AC58" i="16"/>
  <c r="AC44" i="16"/>
  <c r="AC57" i="16"/>
  <c r="AC25" i="16"/>
  <c r="AC19" i="16"/>
  <c r="AC23" i="16"/>
  <c r="AC48" i="16"/>
  <c r="AC26" i="16"/>
  <c r="AC55" i="16"/>
  <c r="AC29" i="16"/>
  <c r="AC34" i="16"/>
  <c r="AD14" i="16"/>
  <c r="AC45" i="16"/>
  <c r="AC30" i="16"/>
  <c r="AC24" i="16"/>
  <c r="AC28" i="16"/>
  <c r="AC39" i="16"/>
  <c r="AC46" i="16"/>
  <c r="AC21" i="16"/>
  <c r="AC14" i="19"/>
  <c r="AB37" i="19"/>
  <c r="AB38" i="19"/>
  <c r="AB11" i="19"/>
  <c r="I49" i="20"/>
  <c r="H49" i="20" s="1"/>
  <c r="B50" i="20"/>
  <c r="E49" i="20"/>
  <c r="F49" i="20"/>
  <c r="AD44" i="16" l="1"/>
  <c r="AD57" i="16"/>
  <c r="AD33" i="16"/>
  <c r="AD47" i="16"/>
  <c r="AD25" i="16"/>
  <c r="AD40" i="16"/>
  <c r="AD53" i="16"/>
  <c r="AD19" i="16"/>
  <c r="AD50" i="16"/>
  <c r="AD54" i="16"/>
  <c r="AD51" i="16"/>
  <c r="AD16" i="16"/>
  <c r="AD38" i="16"/>
  <c r="AD37" i="16"/>
  <c r="AD31" i="16"/>
  <c r="AD41" i="16"/>
  <c r="AD58" i="16"/>
  <c r="AD48" i="16"/>
  <c r="AD34" i="16"/>
  <c r="AD45" i="16"/>
  <c r="AD43" i="16"/>
  <c r="AD56" i="16"/>
  <c r="AD17" i="16"/>
  <c r="AD18" i="16"/>
  <c r="AD26" i="16"/>
  <c r="AD55" i="16"/>
  <c r="AD29" i="16"/>
  <c r="AD27" i="16"/>
  <c r="AD32" i="16"/>
  <c r="AD52" i="16"/>
  <c r="AD59" i="16"/>
  <c r="AD42" i="16"/>
  <c r="AD21" i="16"/>
  <c r="AD49" i="16"/>
  <c r="AD28" i="16"/>
  <c r="AD39" i="16"/>
  <c r="AD20" i="16"/>
  <c r="AD46" i="16"/>
  <c r="AD36" i="16"/>
  <c r="AD24" i="16"/>
  <c r="AD11" i="16"/>
  <c r="AD23" i="16"/>
  <c r="AD35" i="16"/>
  <c r="AD30" i="16"/>
  <c r="AD22" i="16"/>
  <c r="K49" i="20"/>
  <c r="G49" i="20"/>
  <c r="E50" i="20"/>
  <c r="B51" i="20"/>
  <c r="F50" i="20"/>
  <c r="I50" i="20"/>
  <c r="H50" i="20" s="1"/>
  <c r="AC22" i="19"/>
  <c r="AC20" i="19"/>
  <c r="AC47" i="19"/>
  <c r="AC10" i="19"/>
  <c r="AC30" i="19"/>
  <c r="AC25" i="19"/>
  <c r="AC23" i="19"/>
  <c r="AC56" i="19"/>
  <c r="AC31" i="19"/>
  <c r="AC37" i="19"/>
  <c r="AC28" i="19"/>
  <c r="AC26" i="19"/>
  <c r="AC18" i="19"/>
  <c r="AC43" i="19"/>
  <c r="AC29" i="19"/>
  <c r="AC17" i="19"/>
  <c r="AC45" i="19"/>
  <c r="AC32" i="19"/>
  <c r="AC44" i="19"/>
  <c r="AC59" i="19"/>
  <c r="AC63" i="19"/>
  <c r="AC19" i="19"/>
  <c r="AC27" i="19"/>
  <c r="AC61" i="19"/>
  <c r="AC35" i="19"/>
  <c r="AC16" i="19"/>
  <c r="AC57" i="19"/>
  <c r="AC51" i="19"/>
  <c r="AC42" i="19"/>
  <c r="AC34" i="19"/>
  <c r="AC24" i="19"/>
  <c r="AC38" i="19"/>
  <c r="AC36" i="19"/>
  <c r="AC46" i="19"/>
  <c r="AC21" i="19"/>
  <c r="AC49" i="19"/>
  <c r="AC33" i="19"/>
  <c r="AC11" i="19"/>
  <c r="AC55" i="19"/>
  <c r="AC50" i="19"/>
  <c r="AC62" i="19"/>
  <c r="AC53" i="19"/>
  <c r="AC54" i="19"/>
  <c r="AD14" i="19"/>
  <c r="AC52" i="19"/>
  <c r="AC60" i="19"/>
  <c r="AD43" i="19" l="1"/>
  <c r="AD32" i="19"/>
  <c r="AD34" i="19"/>
  <c r="AD28" i="19"/>
  <c r="AD49" i="19"/>
  <c r="AD47" i="19"/>
  <c r="AD35" i="19"/>
  <c r="AD60" i="19"/>
  <c r="AD36" i="19"/>
  <c r="AD52" i="19"/>
  <c r="AD44" i="19"/>
  <c r="AD62" i="19"/>
  <c r="AD51" i="19"/>
  <c r="AD38" i="19"/>
  <c r="AD63" i="19"/>
  <c r="AD21" i="19"/>
  <c r="AD55" i="19"/>
  <c r="AD37" i="19"/>
  <c r="AD24" i="19"/>
  <c r="AD42" i="19"/>
  <c r="AD18" i="19"/>
  <c r="AD46" i="19"/>
  <c r="AD45" i="19"/>
  <c r="AD25" i="19"/>
  <c r="AD11" i="19"/>
  <c r="AD33" i="19"/>
  <c r="AD22" i="19"/>
  <c r="AD17" i="19"/>
  <c r="AD30" i="19"/>
  <c r="AD26" i="19"/>
  <c r="AD29" i="19"/>
  <c r="AD50" i="19"/>
  <c r="AD56" i="19"/>
  <c r="AD57" i="19"/>
  <c r="AD19" i="19"/>
  <c r="AD59" i="19"/>
  <c r="AD27" i="19"/>
  <c r="AD20" i="19"/>
  <c r="AD23" i="19"/>
  <c r="AD61" i="19"/>
  <c r="AD31" i="19"/>
  <c r="AD10" i="19"/>
  <c r="D11" i="19" s="1"/>
  <c r="AD53" i="19"/>
  <c r="AD54" i="19"/>
  <c r="AD16" i="19"/>
  <c r="G50" i="20"/>
  <c r="K50" i="20"/>
  <c r="F51" i="20"/>
  <c r="E51" i="20"/>
  <c r="I51" i="20"/>
  <c r="H51" i="20" s="1"/>
  <c r="F13" i="19" l="1"/>
  <c r="D13" i="19"/>
  <c r="K51" i="20"/>
  <c r="G51" i="20"/>
  <c r="H12" i="19" l="1"/>
  <c r="K12" i="19"/>
  <c r="N12" i="19"/>
  <c r="L12" i="19"/>
  <c r="X12" i="19"/>
  <c r="O12" i="19"/>
  <c r="W12" i="19"/>
  <c r="U12" i="19"/>
  <c r="Z12" i="19"/>
  <c r="AC12" i="19"/>
  <c r="AB12" i="19"/>
  <c r="Q12" i="19"/>
  <c r="AD12" i="19"/>
  <c r="P12" i="19"/>
  <c r="AA12" i="19"/>
  <c r="M12" i="19"/>
  <c r="T12" i="19"/>
  <c r="R12" i="19"/>
  <c r="Y12" i="19"/>
  <c r="I12" i="19"/>
  <c r="S12" i="19"/>
  <c r="J12" i="19"/>
  <c r="V12" i="19"/>
  <c r="F12" i="19"/>
  <c r="G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<sst xmlns="http://schemas.openxmlformats.org/spreadsheetml/2006/main" count="212" uniqueCount="150">
  <si>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</si>
  <si>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</si>
  <si>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</si>
  <si>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</si>
  <si>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</si>
  <si>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</si>
  <si>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</si>
  <si>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</si>
  <si>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</si>
  <si>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</si>
  <si>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</si>
  <si>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</si>
  <si>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</si>
  <si>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</si>
  <si>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</si>
  <si>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</si>
  <si>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</si>
  <si>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</si>
  <si>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</si>
  <si>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</si>
  <si>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</si>
  <si>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</si>
  <si>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</si>
  <si>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</si>
  <si>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</si>
  <si>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</si>
  <si>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</si>
  <si>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</si>
  <si>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</si>
  <si>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</si>
  <si>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</si>
  <si>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</si>
  <si>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</si>
  <si>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</si>
  <si>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</si>
  <si>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</si>
  <si>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</si>
  <si>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</si>
  <si>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</si>
  <si>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</si>
  <si>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</si>
  <si>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</si>
  <si>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</si>
  <si>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</si>
  <si>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</si>
  <si>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</si>
  <si>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</si>
  <si>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</si>
  <si>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</si>
  <si>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</si>
  <si>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</si>
  <si>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</si>
  <si>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</si>
  <si>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</si>
  <si>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</si>
  <si>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</si>
  <si>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</si>
  <si>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</si>
  <si>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</si>
  <si>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</si>
  <si>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</si>
  <si>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</si>
  <si>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</si>
  <si>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</si>
  <si>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</si>
  <si>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</si>
  <si>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</si>
  <si>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</si>
  <si>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</si>
  <si>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</si>
  <si>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</si>
  <si>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</si>
  <si>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</si>
  <si>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Priority</t>
  </si>
  <si>
    <t xml:space="preserve"> 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</si>
  <si>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</si>
  <si>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</si>
  <si>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</si>
  <si>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</si>
  <si>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</si>
  <si>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</si>
  <si>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</si>
  <si>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</si>
  <si>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</si>
  <si>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</si>
  <si>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</si>
  <si>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</si>
  <si>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</si>
  <si>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</si>
  <si>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</si>
  <si>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WHAT WENT WELL?</t>
  </si>
  <si>
    <t>WHAT WENT POORLY?</t>
  </si>
  <si>
    <t>WHAT NEW IDEAS DO WE HAVE?</t>
  </si>
  <si>
    <t>WHAT ACTIONS WILL WE TAKE?</t>
  </si>
  <si>
    <t>TEAM SELF-ASSESMENT</t>
  </si>
  <si>
    <t>Name 1</t>
  </si>
  <si>
    <t>Name 2</t>
  </si>
  <si>
    <t>Name 3</t>
  </si>
  <si>
    <t>Name 4</t>
  </si>
  <si>
    <t>Name 5</t>
  </si>
  <si>
    <t>Name 6</t>
  </si>
  <si>
    <t>Name 7</t>
  </si>
  <si>
    <t>STEP 1: Everybody introduces her/his self-assesment</t>
  </si>
  <si>
    <t>STEP 2: Everybody introduces the team assesment</t>
  </si>
  <si>
    <t>My contribution to the team effort during this sprint(1-5)</t>
  </si>
  <si>
    <t>1- I almost had no contribution during this sprint</t>
  </si>
  <si>
    <t>[DIAGONAL---&gt; Self-assesment]</t>
  </si>
  <si>
    <t>2- My contribution has been less than expected</t>
  </si>
  <si>
    <t>[Rest of the matrix ----&gt; Team assesment]</t>
  </si>
  <si>
    <t>3- My contribution has been according my capabilities and with the agreement of the team.</t>
  </si>
  <si>
    <t>4- Contribution above expectations.</t>
  </si>
  <si>
    <t>5- Outstanding contribution and suport to other team members</t>
  </si>
  <si>
    <t>Evaluator:</t>
  </si>
  <si>
    <t>To evaluate</t>
  </si>
  <si>
    <t>As an analyst, I want to generate data quality reports to ensure the dataset is reliable</t>
  </si>
  <si>
    <t>US 1.1</t>
  </si>
  <si>
    <t>US 1.2</t>
  </si>
  <si>
    <t>As an Analyst, I want to explore and clean raw movie and user rating data so that it’s ready for modeling.</t>
  </si>
  <si>
    <t>As a DevOps Engineer, I want to register trained models in a centralized model registry so that I can track, manage, and promote versions safely.</t>
  </si>
  <si>
    <t>As a DevOps Engineer, I want to deploy the model API.</t>
  </si>
  <si>
    <t>As a DevOps Engineer, I want automated model deployment pipelines.</t>
  </si>
  <si>
    <t>US 4.1</t>
  </si>
  <si>
    <t>US 4.2</t>
  </si>
  <si>
    <t>US 4.3</t>
  </si>
  <si>
    <t>As a Data Scientist, I want to track recommendation performance over time.</t>
  </si>
  <si>
    <t>US 5.1</t>
  </si>
  <si>
    <t>US6.2</t>
  </si>
  <si>
    <t>US6.3</t>
  </si>
  <si>
    <t xml:space="preserve"> As a User, I want to search for movies and view details.</t>
  </si>
  <si>
    <t xml:space="preserve"> As a User, I want to rate movies I’ve watched.</t>
  </si>
  <si>
    <t xml:space="preserve"> As a User, I want to save my preferences (e.g., favorite genres). </t>
  </si>
  <si>
    <t xml:space="preserve"> As a User, I want my data to persist between sessions.</t>
  </si>
  <si>
    <t>As a Recommender Developer, I want to generate batch recommendations from user–item data so users can see relevant movies.</t>
  </si>
  <si>
    <t>US2.1</t>
  </si>
  <si>
    <t>US3.1</t>
  </si>
  <si>
    <t>US3.2</t>
  </si>
  <si>
    <t>As a Data Scientist, I want to run experiments with different models and hyperparameters.</t>
  </si>
  <si>
    <t>As a Data Scientist, I want to track experiment results and compare model performance.</t>
  </si>
  <si>
    <t>US 7.1</t>
  </si>
  <si>
    <t>US7.2</t>
  </si>
  <si>
    <t>US7.3</t>
  </si>
  <si>
    <t>US7.4</t>
  </si>
  <si>
    <t>US6.1</t>
  </si>
  <si>
    <t>As a User, I want to receive a list of recommended movies.</t>
  </si>
  <si>
    <t>As a User, I want to see recommendations based on my past ratings or preferences.</t>
  </si>
  <si>
    <t>As a User, I want to refresh or get new recommendations on demand.</t>
  </si>
  <si>
    <t>US5.2</t>
  </si>
  <si>
    <t>As a Data Scientist, I want the model evaluation metrics to be logged automatically so that I can track performance over time.</t>
  </si>
  <si>
    <t>Install and configure MLflow</t>
  </si>
  <si>
    <t>Install and configure Mlflow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</si>
</sst>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6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1"/>
      <name val="Century Gothic"/>
      <family val="2"/>
    </font>
    <font>
      <sz val="11"/>
      <color rgb="FF000000"/>
      <name val="Century Gothic"/>
      <family val="2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4D93D9"/>
        <bgColor rgb="FF000000"/>
      </patternFill>
    </fill>
    <fill>
      <patternFill patternType="solid">
        <fgColor rgb="FFFFF2CC"/>
        <bgColor rgb="FFFFF2CC"/>
      </patternFill>
    </fill>
    <fill>
      <patternFill patternType="solid">
        <fgColor rgb="FF00FF00"/>
        <bgColor rgb="FF00FF00"/>
      </patternFill>
    </fill>
    <fill>
      <patternFill patternType="solid">
        <fgColor theme="0" tint="-0.34998626667073579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808080"/>
      </right>
      <top/>
      <bottom style="thin">
        <color rgb="FFF2F2F2"/>
      </bottom>
      <diagonal/>
    </border>
    <border>
      <left/>
      <right style="medium">
        <color rgb="FF808080"/>
      </right>
      <top/>
      <bottom style="thin">
        <color rgb="FFF2F2F2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medium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medium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F2F2F2"/>
      </bottom>
      <diagonal/>
    </border>
    <border>
      <left/>
      <right/>
      <top style="thin">
        <color rgb="FF808080"/>
      </top>
      <bottom style="thin">
        <color rgb="FFF2F2F2"/>
      </bottom>
      <diagonal/>
    </border>
    <border>
      <left/>
      <right style="thin">
        <color rgb="FF808080"/>
      </right>
      <top style="thin">
        <color rgb="FF808080"/>
      </top>
      <bottom style="thin">
        <color rgb="FFF2F2F2"/>
      </bottom>
      <diagonal/>
    </border>
    <border>
      <left/>
      <right style="medium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n">
        <color rgb="FF808080"/>
      </right>
      <top style="thin">
        <color rgb="FFF2F2F2"/>
      </top>
      <bottom style="thin">
        <color rgb="FFF2F2F2"/>
      </bottom>
      <diagonal/>
    </border>
    <border>
      <left/>
      <right style="medium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808080"/>
      </bottom>
      <diagonal/>
    </border>
    <border>
      <left/>
      <right/>
      <top style="thin">
        <color rgb="FFF2F2F2"/>
      </top>
      <bottom style="thin">
        <color rgb="FF808080"/>
      </bottom>
      <diagonal/>
    </border>
    <border>
      <left style="thin">
        <color rgb="FF808080"/>
      </left>
      <right/>
      <top style="thin">
        <color rgb="FFF2F2F2"/>
      </top>
      <bottom style="medium">
        <color rgb="FF808080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top"/>
    </xf>
    <xf numFmtId="0" fontId="13" fillId="0" borderId="33" xfId="0" applyFont="1" applyBorder="1" applyAlignment="1">
      <alignment vertical="center" wrapText="1"/>
    </xf>
    <xf numFmtId="0" fontId="13" fillId="0" borderId="34" xfId="0" applyFont="1" applyBorder="1" applyAlignment="1">
      <alignment vertical="center" wrapText="1"/>
    </xf>
    <xf numFmtId="0" fontId="13" fillId="0" borderId="35" xfId="0" applyFont="1" applyBorder="1" applyAlignment="1">
      <alignment vertical="center" wrapText="1"/>
    </xf>
    <xf numFmtId="0" fontId="13" fillId="0" borderId="36" xfId="0" applyFont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3" fillId="0" borderId="38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1" fillId="8" borderId="55" xfId="0" applyFont="1" applyFill="1" applyBorder="1" applyAlignment="1">
      <alignment wrapText="1"/>
    </xf>
    <xf numFmtId="0" fontId="11" fillId="0" borderId="0" xfId="0" applyFont="1"/>
    <xf numFmtId="0" fontId="11" fillId="9" borderId="55" xfId="0" applyFont="1" applyFill="1" applyBorder="1" applyAlignment="1">
      <alignment wrapText="1"/>
    </xf>
    <xf numFmtId="0" fontId="11" fillId="0" borderId="55" xfId="0" applyFont="1" applyBorder="1" applyAlignment="1">
      <alignment wrapText="1"/>
    </xf>
    <xf numFmtId="0" fontId="11" fillId="8" borderId="55" xfId="0" applyFont="1" applyFill="1" applyBorder="1"/>
    <xf numFmtId="0" fontId="11" fillId="0" borderId="55" xfId="0" applyFont="1" applyBorder="1"/>
    <xf numFmtId="0" fontId="0" fillId="0" borderId="0" xfId="0" applyAlignment="1">
      <alignment horizontal="center" wrapText="1"/>
    </xf>
    <xf numFmtId="0" fontId="11" fillId="8" borderId="56" xfId="0" applyFont="1" applyFill="1" applyBorder="1" applyAlignment="1">
      <alignment wrapText="1"/>
    </xf>
    <xf numFmtId="0" fontId="1" fillId="10" borderId="56" xfId="0" applyFont="1" applyFill="1" applyBorder="1" applyAlignment="1">
      <alignment wrapText="1"/>
    </xf>
    <xf numFmtId="0" fontId="1" fillId="10" borderId="9" xfId="0" applyFont="1" applyFill="1" applyBorder="1" applyAlignment="1">
      <alignment wrapText="1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5" fillId="2" borderId="0" xfId="0" applyFont="1" applyFill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vertic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3" fillId="0" borderId="47" xfId="0" applyFont="1" applyBorder="1" applyAlignment="1">
      <alignment horizontal="left" vertical="center" wrapText="1" indent="1"/>
    </xf>
    <xf numFmtId="0" fontId="13" fillId="0" borderId="48" xfId="0" applyFont="1" applyBorder="1" applyAlignment="1">
      <alignment horizontal="left" vertical="center" wrapText="1" indent="1"/>
    </xf>
    <xf numFmtId="0" fontId="13" fillId="0" borderId="53" xfId="0" applyFont="1" applyBorder="1" applyAlignment="1">
      <alignment horizontal="left" vertical="center" wrapText="1" indent="1"/>
    </xf>
    <xf numFmtId="0" fontId="13" fillId="0" borderId="54" xfId="0" applyFont="1" applyBorder="1" applyAlignment="1">
      <alignment horizontal="left" vertical="center" wrapText="1" indent="1"/>
    </xf>
    <xf numFmtId="0" fontId="13" fillId="0" borderId="49" xfId="0" applyFont="1" applyBorder="1" applyAlignment="1">
      <alignment horizontal="left" vertical="center" wrapText="1" indent="1"/>
    </xf>
    <xf numFmtId="0" fontId="13" fillId="0" borderId="50" xfId="0" applyFont="1" applyBorder="1" applyAlignment="1">
      <alignment horizontal="left" vertical="center" wrapText="1" indent="1"/>
    </xf>
    <xf numFmtId="0" fontId="13" fillId="0" borderId="51" xfId="0" applyFont="1" applyBorder="1" applyAlignment="1">
      <alignment horizontal="left" vertical="center" wrapText="1" indent="1"/>
    </xf>
    <xf numFmtId="0" fontId="13" fillId="0" borderId="52" xfId="0" applyFont="1" applyBorder="1" applyAlignment="1">
      <alignment horizontal="left" vertical="center" wrapText="1" indent="1"/>
    </xf>
    <xf numFmtId="0" fontId="12" fillId="6" borderId="39" xfId="0" applyFont="1" applyFill="1" applyBorder="1" applyAlignment="1">
      <alignment horizontal="center" vertical="center" wrapText="1"/>
    </xf>
    <xf numFmtId="0" fontId="12" fillId="6" borderId="40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12" fillId="7" borderId="39" xfId="0" applyFont="1" applyFill="1" applyBorder="1" applyAlignment="1">
      <alignment horizontal="center" vertical="center" wrapText="1"/>
    </xf>
    <xf numFmtId="0" fontId="12" fillId="7" borderId="40" xfId="0" applyFont="1" applyFill="1" applyBorder="1" applyAlignment="1">
      <alignment horizontal="center" vertical="center" wrapText="1"/>
    </xf>
    <xf numFmtId="0" fontId="12" fillId="7" borderId="42" xfId="0" applyFont="1" applyFill="1" applyBorder="1" applyAlignment="1">
      <alignment horizontal="center" vertical="center" wrapText="1"/>
    </xf>
    <xf numFmtId="0" fontId="13" fillId="0" borderId="43" xfId="0" applyFont="1" applyBorder="1" applyAlignment="1">
      <alignment horizontal="left" vertical="center" wrapText="1" indent="1"/>
    </xf>
    <xf numFmtId="0" fontId="13" fillId="0" borderId="44" xfId="0" applyFont="1" applyBorder="1" applyAlignment="1">
      <alignment horizontal="left" vertical="center" wrapText="1" indent="1"/>
    </xf>
    <xf numFmtId="0" fontId="13" fillId="0" borderId="45" xfId="0" applyFont="1" applyBorder="1" applyAlignment="1">
      <alignment horizontal="left" vertical="center" wrapText="1" indent="1"/>
    </xf>
    <xf numFmtId="0" fontId="13" fillId="0" borderId="46" xfId="0" applyFont="1" applyBorder="1" applyAlignment="1">
      <alignment horizontal="left" vertical="center" wrapText="1" indent="1"/>
    </xf>
    <xf numFmtId="0" fontId="12" fillId="4" borderId="39" xfId="0" applyFont="1" applyFill="1" applyBorder="1" applyAlignment="1">
      <alignment horizontal="center" vertical="center" wrapText="1"/>
    </xf>
    <xf numFmtId="0" fontId="12" fillId="4" borderId="40" xfId="0" applyFont="1" applyFill="1" applyBorder="1" applyAlignment="1">
      <alignment horizontal="center" vertical="center" wrapText="1"/>
    </xf>
    <xf numFmtId="0" fontId="12" fillId="4" borderId="41" xfId="0" applyFont="1" applyFill="1" applyBorder="1" applyAlignment="1">
      <alignment horizontal="center" vertical="center" wrapText="1"/>
    </xf>
    <xf numFmtId="0" fontId="12" fillId="5" borderId="39" xfId="0" applyFont="1" applyFill="1" applyBorder="1" applyAlignment="1">
      <alignment horizontal="center" vertical="center" wrapText="1"/>
    </xf>
    <xf numFmtId="0" fontId="12" fillId="5" borderId="40" xfId="0" applyFont="1" applyFill="1" applyBorder="1" applyAlignment="1">
      <alignment horizontal="center" vertical="center" wrapText="1"/>
    </xf>
    <xf numFmtId="0" fontId="12" fillId="5" borderId="42" xfId="0" applyFont="1" applyFill="1" applyBorder="1" applyAlignment="1">
      <alignment horizontal="center" vertical="center" wrapText="1"/>
    </xf>
    <xf numFmtId="0" fontId="0" fillId="0" borderId="0" xfId="0" applyBorder="1" applyAlignment="1">
      <alignment vertical="top"/>
    </xf>
    <xf numFmtId="0" fontId="11" fillId="0" borderId="11" xfId="0" applyFont="1" applyBorder="1" applyAlignment="1">
      <alignment vertical="top"/>
    </xf>
  </cellXfs>
  <cellStyles count="1">
    <cellStyle name="Normal" xfId="0" builtinId="0"/>
  </cellStyles>
  <dxfs count="46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Velocity and Remaining Work</a:t>
            </a:r>
          </a:p>
        </c:rich>
      </c:tx>
      <c:layout>
        <c:manualLayout>
          <c:xMode val="edge"/>
          <c:yMode val="edge"/>
          <c:x val="0.24070221371211972"/>
          <c:y val="1.65981638187342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443998656881963E-2"/>
          <c:y val="0.11203684110752782"/>
          <c:w val="0.90077238374827173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F64C-915A-59430E29FADA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F-F64C-915A-59430E29FAD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F-F64C-915A-59430E29FADA}"/>
            </c:ext>
          </c:extLst>
        </c:ser>
        <c:ser>
          <c:idx val="2"/>
          <c:order val="3"/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7F-F64C-915A-59430E29FAD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7F-F64C-915A-59430E29FADA}"/>
            </c:ext>
          </c:extLst>
        </c:ser>
        <c:ser>
          <c:idx val="3"/>
          <c:order val="5"/>
          <c:tx>
            <c:v>Current Scope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7F-F64C-915A-59430E29F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004700095"/>
        <c:axId val="1"/>
      </c:lineChart>
      <c:catAx>
        <c:axId val="1004700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0047000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Development Velocity</a:t>
            </a:r>
          </a:p>
        </c:rich>
      </c:tx>
      <c:layout>
        <c:manualLayout>
          <c:xMode val="edge"/>
          <c:yMode val="edge"/>
          <c:x val="0.30522049197944551"/>
          <c:y val="3.3583264778469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940666306935327"/>
          <c:w val="0.89580945050447958"/>
          <c:h val="0.67912539620694679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4BC-A740-9C0E-BCC3E3D05E81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01280767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BC-A740-9C0E-BCC3E3D05E81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BC-A740-9C0E-BCC3E3D05E81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280767"/>
        <c:axId val="1"/>
      </c:lineChart>
      <c:catAx>
        <c:axId val="1001280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00128076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1166604794748052"/>
          <c:y val="0.87689270184510515"/>
          <c:w val="0.77173619116469006"/>
          <c:h val="0.104480843812433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9122459821029"/>
          <c:y val="0.10577346745368002"/>
          <c:w val="0.84046445099727352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676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2</c:v>
                </c:pt>
                <c:pt idx="1">
                  <c:v>1.7142857142857144</c:v>
                </c:pt>
                <c:pt idx="2">
                  <c:v>1.4285714285714286</c:v>
                </c:pt>
                <c:pt idx="3">
                  <c:v>1.1428571428571428</c:v>
                </c:pt>
                <c:pt idx="4">
                  <c:v>0.85714285714285721</c:v>
                </c:pt>
                <c:pt idx="5">
                  <c:v>0.57142857142857162</c:v>
                </c:pt>
                <c:pt idx="6">
                  <c:v>0.28571428571428581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E-A046-A7B0-83BA512DF15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67647"/>
        <c:axId val="1"/>
      </c:lineChart>
      <c:catAx>
        <c:axId val="9632676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9632676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79295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3B-6946-BE9E-2E33ACF0CACA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79295"/>
        <c:axId val="1"/>
      </c:lineChart>
      <c:catAx>
        <c:axId val="963279295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9632792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4133850</xdr:colOff>
          <xdr:row>0</xdr:row>
          <xdr:rowOff>95250</xdr:rowOff>
        </xdr:from>
        <xdr:to>
          <xdr:col>2</xdr:col>
          <xdr:colOff>466725</xdr:colOff>
          <xdr:row>1</xdr:row>
          <xdr:rowOff>95250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1</xdr:row>
      <xdr:rowOff>50800</xdr:rowOff>
    </xdr:from>
    <xdr:to>
      <xdr:col>24</xdr:col>
      <xdr:colOff>596900</xdr:colOff>
      <xdr:row>19</xdr:row>
      <xdr:rowOff>139700</xdr:rowOff>
    </xdr:to>
    <xdr:graphicFrame macro="">
      <xdr:nvGraphicFramePr>
        <xdr:cNvPr id="18590" name="Chart 2">
          <a:extLst>
            <a:ext uri="{FF2B5EF4-FFF2-40B4-BE49-F238E27FC236}">
              <a16:creationId xmlns:a16="http://schemas.microsoft.com/office/drawing/2014/main" id="{3C2AA907-8B01-15BB-24CF-C9A125160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203200</xdr:colOff>
      <xdr:row>20</xdr:row>
      <xdr:rowOff>50800</xdr:rowOff>
    </xdr:from>
    <xdr:to>
      <xdr:col>24</xdr:col>
      <xdr:colOff>609600</xdr:colOff>
      <xdr:row>39</xdr:row>
      <xdr:rowOff>127000</xdr:rowOff>
    </xdr:to>
    <xdr:graphicFrame macro="">
      <xdr:nvGraphicFramePr>
        <xdr:cNvPr id="18591" name="Chart 17">
          <a:extLst>
            <a:ext uri="{FF2B5EF4-FFF2-40B4-BE49-F238E27FC236}">
              <a16:creationId xmlns:a16="http://schemas.microsoft.com/office/drawing/2014/main" id="{C53AC1DB-9CD8-D7EB-7254-FBB0164A2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7487" name="Chart 2">
          <a:extLst>
            <a:ext uri="{FF2B5EF4-FFF2-40B4-BE49-F238E27FC236}">
              <a16:creationId xmlns:a16="http://schemas.microsoft.com/office/drawing/2014/main" id="{B35A3EE9-69B3-23A8-2ACD-F23E0EE25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95250</xdr:rowOff>
        </xdr:from>
        <xdr:to>
          <xdr:col>0</xdr:col>
          <xdr:colOff>2305050</xdr:colOff>
          <xdr:row>7</xdr:row>
          <xdr:rowOff>19050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2571750</xdr:colOff>
          <xdr:row>5</xdr:row>
          <xdr:rowOff>95250</xdr:rowOff>
        </xdr:from>
        <xdr:to>
          <xdr:col>2</xdr:col>
          <xdr:colOff>342900</xdr:colOff>
          <xdr:row>7</xdr:row>
          <xdr:rowOff>19050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4421" name="Chart 2">
          <a:extLst>
            <a:ext uri="{FF2B5EF4-FFF2-40B4-BE49-F238E27FC236}">
              <a16:creationId xmlns:a16="http://schemas.microsoft.com/office/drawing/2014/main" id="{43E9FEA5-2E85-3965-EC2B-AEC2FE2D8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95250</xdr:rowOff>
        </xdr:from>
        <xdr:to>
          <xdr:col>0</xdr:col>
          <xdr:colOff>1962150</xdr:colOff>
          <xdr:row>7</xdr:row>
          <xdr:rowOff>19050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2286000</xdr:colOff>
          <xdr:row>5</xdr:row>
          <xdr:rowOff>95250</xdr:rowOff>
        </xdr:from>
        <xdr:to>
          <xdr:col>2</xdr:col>
          <xdr:colOff>247650</xdr:colOff>
          <xdr:row>7</xdr:row>
          <xdr:rowOff>19050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4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zoomScale="119" zoomScaleNormal="119" workbookViewId="0">
      <selection activeCell="G37" sqref="G37"/>
    </sheetView>
  </sheetViews>
  <sheetFormatPr baseColWidth="10" defaultColWidth="8.7109375" defaultRowHeight="12.75" x14ac:dyDescent="0.2"/>
  <cols>
    <col min="1" max="1" width="7.7109375" customWidth="1"/>
    <col min="2" max="2" width="10.42578125" customWidth="1"/>
    <col min="3" max="3" width="9.42578125" customWidth="1"/>
    <col min="4" max="5" width="10.7109375" customWidth="1"/>
    <col min="6" max="6" width="8.7109375" customWidth="1"/>
    <col min="7" max="7" width="13.7109375" style="2" customWidth="1"/>
    <col min="8" max="8" width="59.140625" customWidth="1"/>
    <col min="9" max="9" width="10.7109375" customWidth="1"/>
  </cols>
  <sheetData>
    <row r="1" spans="1:10" ht="18" x14ac:dyDescent="0.25">
      <c r="A1" s="13" t="s">
        <v>15</v>
      </c>
    </row>
    <row r="3" spans="1:10" x14ac:dyDescent="0.2">
      <c r="A3" s="7" t="s">
        <v>16</v>
      </c>
      <c r="B3" s="41" t="s">
        <v>1</v>
      </c>
      <c r="C3" s="42" t="s">
        <v>30</v>
      </c>
      <c r="D3" s="42" t="s">
        <v>2</v>
      </c>
      <c r="E3" s="41" t="s">
        <v>18</v>
      </c>
      <c r="F3" s="8" t="s">
        <v>3</v>
      </c>
      <c r="G3" s="41" t="s">
        <v>4</v>
      </c>
      <c r="H3" s="9" t="s">
        <v>0</v>
      </c>
      <c r="I3" s="1"/>
      <c r="J3" s="1"/>
    </row>
    <row r="4" spans="1:10" x14ac:dyDescent="0.2">
      <c r="A4" s="10">
        <v>1</v>
      </c>
      <c r="B4" s="38">
        <f>IF(OR(B16="",A4=""),"",B16)</f>
        <v>45974</v>
      </c>
      <c r="C4" s="21">
        <f t="shared" ref="C4:C10" si="0">IF(A4="","",SUMIF(I$16:I$30,A4,C$16:C$30))</f>
        <v>0</v>
      </c>
      <c r="D4" s="38">
        <f>IF(OR(B4="",C4=""),"",B4+C4-1)</f>
        <v>45973</v>
      </c>
      <c r="E4" s="18">
        <f>IF(A4="","",SUMIF(I$16:I$30,'Release Plan'!A4,E$16:E$30))</f>
        <v>0</v>
      </c>
      <c r="G4" s="43"/>
      <c r="H4" s="4"/>
    </row>
    <row r="5" spans="1:10" x14ac:dyDescent="0.2">
      <c r="A5" s="11">
        <v>2</v>
      </c>
      <c r="B5" s="35">
        <f>IF(A5="","",B4+C4)</f>
        <v>45974</v>
      </c>
      <c r="C5" s="18">
        <f t="shared" si="0"/>
        <v>0</v>
      </c>
      <c r="D5" s="35">
        <f t="shared" ref="D5:D10" si="1">IF(OR(B5="",C5=""),"",B5+C5-1)</f>
        <v>45973</v>
      </c>
      <c r="E5" s="18">
        <f>IF(A5="","",SUMIF(I$16:I$30,'Release Plan'!A5,E$16:E$30))</f>
        <v>0</v>
      </c>
      <c r="G5" s="44"/>
      <c r="H5" s="5"/>
    </row>
    <row r="6" spans="1:10" x14ac:dyDescent="0.2">
      <c r="A6" s="11"/>
      <c r="B6" s="35"/>
      <c r="C6" s="18" t="str">
        <f t="shared" si="0"/>
        <v/>
      </c>
      <c r="D6" s="35" t="str">
        <f t="shared" si="1"/>
        <v/>
      </c>
      <c r="E6" s="18" t="str">
        <f>IF(A6="","",SUMIF(I$16:I$30,'Release Plan'!A6,E$16:E$30))</f>
        <v/>
      </c>
      <c r="G6" s="44"/>
      <c r="H6" s="5"/>
    </row>
    <row r="7" spans="1:10" x14ac:dyDescent="0.2">
      <c r="A7" s="11"/>
      <c r="B7" s="35"/>
      <c r="C7" s="18" t="str">
        <f t="shared" si="0"/>
        <v/>
      </c>
      <c r="D7" s="35" t="str">
        <f t="shared" si="1"/>
        <v/>
      </c>
      <c r="E7" s="18" t="str">
        <f>IF(A7="","",SUMIF(I$16:I$30,'Release Plan'!A7,E$16:E$30))</f>
        <v/>
      </c>
      <c r="G7" s="44"/>
      <c r="H7" s="5"/>
    </row>
    <row r="8" spans="1:10" x14ac:dyDescent="0.2">
      <c r="A8" s="11"/>
      <c r="B8" s="35"/>
      <c r="C8" s="18" t="str">
        <f t="shared" si="0"/>
        <v/>
      </c>
      <c r="D8" s="35" t="str">
        <f t="shared" si="1"/>
        <v/>
      </c>
      <c r="E8" s="18" t="str">
        <f>IF(A8="","",SUMIF(I$16:I$30,'Release Plan'!A8,E$16:E$30))</f>
        <v/>
      </c>
      <c r="G8" s="44"/>
      <c r="H8" s="5"/>
    </row>
    <row r="9" spans="1:10" x14ac:dyDescent="0.2">
      <c r="A9" s="11"/>
      <c r="B9" s="35"/>
      <c r="C9" s="18" t="str">
        <f t="shared" si="0"/>
        <v/>
      </c>
      <c r="D9" s="35" t="str">
        <f t="shared" si="1"/>
        <v/>
      </c>
      <c r="E9" s="18" t="str">
        <f>IF(A9="","",SUMIF(I$16:I$30,'Release Plan'!A9,E$16:E$30))</f>
        <v/>
      </c>
      <c r="G9" s="44"/>
      <c r="H9" s="5"/>
    </row>
    <row r="10" spans="1:10" x14ac:dyDescent="0.2">
      <c r="A10" s="12"/>
      <c r="B10" s="36"/>
      <c r="C10" s="37" t="str">
        <f t="shared" si="0"/>
        <v/>
      </c>
      <c r="D10" s="36" t="str">
        <f t="shared" si="1"/>
        <v/>
      </c>
      <c r="E10" s="37" t="str">
        <f>IF(A10="","",SUMIF(I$16:I$30,'Release Plan'!A10,E$16:E$30))</f>
        <v/>
      </c>
      <c r="F10" s="3"/>
      <c r="G10" s="45"/>
      <c r="H10" s="6"/>
    </row>
    <row r="11" spans="1:10" x14ac:dyDescent="0.2">
      <c r="A11" s="32" t="s">
        <v>31</v>
      </c>
    </row>
    <row r="13" spans="1:10" ht="18" x14ac:dyDescent="0.25">
      <c r="A13" s="13" t="s">
        <v>14</v>
      </c>
    </row>
    <row r="15" spans="1:10" x14ac:dyDescent="0.2">
      <c r="A15" s="7" t="s">
        <v>13</v>
      </c>
      <c r="B15" s="41" t="s">
        <v>1</v>
      </c>
      <c r="C15" s="41" t="s">
        <v>30</v>
      </c>
      <c r="D15" s="41" t="s">
        <v>2</v>
      </c>
      <c r="E15" s="41" t="s">
        <v>18</v>
      </c>
      <c r="F15" s="8" t="s">
        <v>3</v>
      </c>
      <c r="G15" s="41" t="s">
        <v>4</v>
      </c>
      <c r="H15" s="68" t="s">
        <v>0</v>
      </c>
      <c r="I15" s="47" t="s">
        <v>32</v>
      </c>
      <c r="J15" s="1"/>
    </row>
    <row r="16" spans="1:10" x14ac:dyDescent="0.2">
      <c r="A16" s="18">
        <v>1</v>
      </c>
      <c r="B16" s="72">
        <v>45974</v>
      </c>
      <c r="C16" s="2">
        <v>7</v>
      </c>
      <c r="D16" s="22">
        <f>IF(AND(B16&lt;&gt;"",C16&lt;&gt;""),B16+C16-1,"")</f>
        <v>45980</v>
      </c>
      <c r="E16" s="18">
        <f>IF(A16="","",SUMIF('Product Backlog'!E$5:E$106,'Release Plan'!A16,'Product Backlog'!D$5:D$106))</f>
        <v>0</v>
      </c>
      <c r="F16" t="s">
        <v>19</v>
      </c>
      <c r="H16" s="23"/>
      <c r="I16" s="67"/>
    </row>
    <row r="17" spans="1:9" x14ac:dyDescent="0.2">
      <c r="A17" s="114">
        <v>2</v>
      </c>
      <c r="B17" s="22" t="str">
        <f>IF(AND(B16&lt;&gt;"",C16&lt;&gt;"",C17&lt;&gt;""),B16+C16,"")</f>
        <v/>
      </c>
      <c r="C17" s="2"/>
      <c r="D17" s="22" t="str">
        <f>IF(AND(B17&lt;&gt;"",C17&lt;&gt;""),B17+C17-1,"")</f>
        <v/>
      </c>
      <c r="E17" s="18">
        <f>IF(A17="","",SUMIF('Product Backlog'!E$5:E$106,'Release Plan'!A17,'Product Backlog'!D$5:D$106))</f>
        <v>0</v>
      </c>
      <c r="I17" s="33"/>
    </row>
    <row r="18" spans="1:9" x14ac:dyDescent="0.2">
      <c r="A18" s="18">
        <v>3</v>
      </c>
      <c r="B18" s="22" t="str">
        <f>IF(AND(B17&lt;&gt;"",C17&lt;&gt;"",C18&lt;&gt;""),B17+C17,"")</f>
        <v/>
      </c>
      <c r="C18" s="2"/>
      <c r="D18" s="22" t="str">
        <f>IF(AND(B18&lt;&gt;"",C18&lt;&gt;""),B18+C18-1,"")</f>
        <v/>
      </c>
      <c r="E18" s="18">
        <f>IF(A18="","",SUMIF('Product Backlog'!E$5:E$106,'Release Plan'!A18,'Product Backlog'!D$5:D$106))</f>
        <v>0</v>
      </c>
      <c r="F18" t="str">
        <f>IF(AND(OR(F17="Planned",F17="Ongoing"),C18&lt;&gt;""),"Planned","Unplanned")</f>
        <v>Unplanned</v>
      </c>
      <c r="I18" s="33"/>
    </row>
    <row r="19" spans="1:9" x14ac:dyDescent="0.2">
      <c r="A19" s="18"/>
      <c r="B19" s="22" t="str">
        <f>IF(AND(B18&lt;&gt;"",C18&lt;&gt;"",C19&lt;&gt;""),B18+C18,"")</f>
        <v/>
      </c>
      <c r="C19" s="2"/>
      <c r="D19" s="22" t="str">
        <f>IF(AND(B19&lt;&gt;"",C19&lt;&gt;""),B19+C19-1,"")</f>
        <v/>
      </c>
      <c r="E19" s="18"/>
      <c r="F19" t="str">
        <f>IF(AND(OR(F18="Planned",F18="Ongoing"),C19&lt;&gt;""),"Planned","Unplanned")</f>
        <v>Unplanned</v>
      </c>
      <c r="I19" s="33"/>
    </row>
    <row r="20" spans="1:9" x14ac:dyDescent="0.2">
      <c r="A20" s="18"/>
      <c r="B20" s="22" t="str">
        <f>IF(AND(B19&lt;&gt;"",C19&lt;&gt;"",C20&lt;&gt;""),B19+C19,"")</f>
        <v/>
      </c>
      <c r="C20" s="2"/>
      <c r="D20" s="22" t="str">
        <f>IF(AND(B20&lt;&gt;"",C20&lt;&gt;""),B20+C20-1,"")</f>
        <v/>
      </c>
      <c r="E20" s="18"/>
      <c r="F20" t="str">
        <f>IF(AND(OR(F19="Planned",F19="Ongoing"),C20&lt;&gt;""),"Planned","Unplanned")</f>
        <v>Unplanned</v>
      </c>
      <c r="I20" s="33"/>
    </row>
    <row r="21" spans="1:9" x14ac:dyDescent="0.2">
      <c r="A21" s="18"/>
      <c r="B21" s="22" t="str">
        <f>IF(AND(B20&lt;&gt;"",C20&lt;&gt;"",C21&lt;&gt;""),B20+C20,"")</f>
        <v/>
      </c>
      <c r="C21" s="2"/>
      <c r="D21" s="22" t="str">
        <f>IF(AND(B21&lt;&gt;"",C21&lt;&gt;""),B21+C21-1,"")</f>
        <v/>
      </c>
      <c r="E21" s="18"/>
      <c r="F21" t="str">
        <f>IF(AND(OR(F20="Planned",F20="Ongoing"),C21&lt;&gt;""),"Planned","Unplanned")</f>
        <v>Unplanned</v>
      </c>
      <c r="I21" s="33"/>
    </row>
    <row r="22" spans="1:9" x14ac:dyDescent="0.2">
      <c r="A22" s="18" t="str">
        <f t="shared" ref="A22:A30" si="2">IF(AND(B22&lt;&gt;"",C22&lt;&gt;""),A21+1,"")</f>
        <v/>
      </c>
      <c r="B22" s="22" t="str">
        <f t="shared" ref="B22:B30" si="3">IF(AND(B21&lt;&gt;"",C21&lt;&gt;"",C22&lt;&gt;""),B21+C21,"")</f>
        <v/>
      </c>
      <c r="C22" s="2"/>
      <c r="D22" s="22" t="str">
        <f t="shared" ref="D16:D30" si="4">IF(AND(B22&lt;&gt;"",C22&lt;&gt;""),B22+C22-1,"")</f>
        <v/>
      </c>
      <c r="E22" s="18" t="str">
        <f>IF(A22="","",SUMIF('Product Backlog'!E$7:E$106,'Release Plan'!A22,'Product Backlog'!D$7:D$106))</f>
        <v/>
      </c>
      <c r="F22" t="str">
        <f t="shared" ref="F22:F30" si="5">IF(AND(OR(F21="Planned",F21="Ongoing"),C22&lt;&gt;""),"Planned","Unplanned")</f>
        <v>Unplanned</v>
      </c>
      <c r="H22" s="24"/>
      <c r="I22" s="33"/>
    </row>
    <row r="23" spans="1:9" x14ac:dyDescent="0.2">
      <c r="A23" s="18" t="str">
        <f t="shared" si="2"/>
        <v/>
      </c>
      <c r="B23" s="22" t="str">
        <f t="shared" si="3"/>
        <v/>
      </c>
      <c r="C23" s="2"/>
      <c r="D23" s="22" t="str">
        <f t="shared" si="4"/>
        <v/>
      </c>
      <c r="E23" s="18" t="str">
        <f>IF(A23="","",SUMIF('Product Backlog'!E$7:E$106,'Release Plan'!A23,'Product Backlog'!D$7:D$106))</f>
        <v/>
      </c>
      <c r="F23" t="str">
        <f t="shared" si="5"/>
        <v>Unplanned</v>
      </c>
      <c r="H23" s="24"/>
      <c r="I23" s="33"/>
    </row>
    <row r="24" spans="1:9" x14ac:dyDescent="0.2">
      <c r="A24" s="18" t="str">
        <f t="shared" si="2"/>
        <v/>
      </c>
      <c r="B24" s="22" t="str">
        <f t="shared" si="3"/>
        <v/>
      </c>
      <c r="C24" s="2"/>
      <c r="D24" s="22" t="str">
        <f t="shared" si="4"/>
        <v/>
      </c>
      <c r="E24" s="18" t="str">
        <f>IF(A24="","",SUMIF('Product Backlog'!E$7:E$106,'Release Plan'!A24,'Product Backlog'!D$7:D$106))</f>
        <v/>
      </c>
      <c r="F24" t="str">
        <f t="shared" si="5"/>
        <v>Unplanned</v>
      </c>
      <c r="H24" s="24"/>
      <c r="I24" s="33"/>
    </row>
    <row r="25" spans="1:9" x14ac:dyDescent="0.2">
      <c r="A25" s="18" t="str">
        <f t="shared" si="2"/>
        <v/>
      </c>
      <c r="B25" s="22" t="str">
        <f t="shared" si="3"/>
        <v/>
      </c>
      <c r="C25" s="2"/>
      <c r="D25" s="22" t="str">
        <f t="shared" si="4"/>
        <v/>
      </c>
      <c r="E25" s="18" t="str">
        <f>IF(A25="","",SUMIF('Product Backlog'!E$7:E$106,'Release Plan'!A25,'Product Backlog'!D$7:D$106))</f>
        <v/>
      </c>
      <c r="F25" t="str">
        <f t="shared" si="5"/>
        <v>Unplanned</v>
      </c>
      <c r="H25" s="24"/>
      <c r="I25" s="33"/>
    </row>
    <row r="26" spans="1:9" x14ac:dyDescent="0.2">
      <c r="A26" s="18" t="str">
        <f t="shared" si="2"/>
        <v/>
      </c>
      <c r="B26" s="22" t="str">
        <f t="shared" si="3"/>
        <v/>
      </c>
      <c r="C26" s="2"/>
      <c r="D26" s="22" t="str">
        <f t="shared" si="4"/>
        <v/>
      </c>
      <c r="E26" s="18" t="str">
        <f>IF(A26="","",SUMIF('Product Backlog'!E$7:E$106,'Release Plan'!A26,'Product Backlog'!D$7:D$106))</f>
        <v/>
      </c>
      <c r="F26" t="str">
        <f t="shared" si="5"/>
        <v>Unplanned</v>
      </c>
      <c r="H26" s="24"/>
      <c r="I26" s="33"/>
    </row>
    <row r="27" spans="1:9" x14ac:dyDescent="0.2">
      <c r="A27" s="18" t="str">
        <f t="shared" si="2"/>
        <v/>
      </c>
      <c r="B27" s="22" t="str">
        <f t="shared" si="3"/>
        <v/>
      </c>
      <c r="C27" s="2"/>
      <c r="D27" s="22" t="str">
        <f t="shared" si="4"/>
        <v/>
      </c>
      <c r="E27" s="18" t="str">
        <f>IF(A27="","",SUMIF('Product Backlog'!E$7:E$106,'Release Plan'!A27,'Product Backlog'!D$7:D$106))</f>
        <v/>
      </c>
      <c r="F27" t="str">
        <f t="shared" si="5"/>
        <v>Unplanned</v>
      </c>
      <c r="H27" s="24"/>
      <c r="I27" s="33"/>
    </row>
    <row r="28" spans="1:9" x14ac:dyDescent="0.2">
      <c r="A28" s="18" t="str">
        <f t="shared" si="2"/>
        <v/>
      </c>
      <c r="B28" s="22" t="str">
        <f t="shared" si="3"/>
        <v/>
      </c>
      <c r="C28" s="2"/>
      <c r="D28" s="22" t="str">
        <f t="shared" si="4"/>
        <v/>
      </c>
      <c r="E28" s="18" t="str">
        <f>IF(A28="","",SUMIF('Product Backlog'!E$7:E$106,'Release Plan'!A28,'Product Backlog'!D$7:D$106))</f>
        <v/>
      </c>
      <c r="F28" t="str">
        <f t="shared" si="5"/>
        <v>Unplanned</v>
      </c>
      <c r="H28" s="24"/>
      <c r="I28" s="33"/>
    </row>
    <row r="29" spans="1:9" x14ac:dyDescent="0.2">
      <c r="A29" s="18" t="str">
        <f t="shared" si="2"/>
        <v/>
      </c>
      <c r="B29" s="22" t="str">
        <f t="shared" si="3"/>
        <v/>
      </c>
      <c r="C29" s="2"/>
      <c r="D29" s="22" t="str">
        <f t="shared" si="4"/>
        <v/>
      </c>
      <c r="E29" s="18" t="str">
        <f>IF(A29="","",SUMIF('Product Backlog'!E$7:E$106,'Release Plan'!A29,'Product Backlog'!D$7:D$106))</f>
        <v/>
      </c>
      <c r="F29" t="str">
        <f t="shared" si="5"/>
        <v>Unplanned</v>
      </c>
      <c r="H29" s="24"/>
      <c r="I29" s="33"/>
    </row>
    <row r="30" spans="1:9" x14ac:dyDescent="0.2">
      <c r="A30" s="18" t="str">
        <f t="shared" si="2"/>
        <v/>
      </c>
      <c r="B30" s="22" t="str">
        <f t="shared" si="3"/>
        <v/>
      </c>
      <c r="C30" s="2"/>
      <c r="D30" s="22" t="str">
        <f t="shared" si="4"/>
        <v/>
      </c>
      <c r="E30" s="18" t="str">
        <f>IF(A30="","",SUMIF('Product Backlog'!E$7:E$106,'Release Plan'!A30,'Product Backlog'!D$7:D$106))</f>
        <v/>
      </c>
      <c r="F30" t="str">
        <f t="shared" si="5"/>
        <v>Unplanned</v>
      </c>
      <c r="H30" s="25"/>
      <c r="I30" s="34"/>
    </row>
    <row r="31" spans="1:9" x14ac:dyDescent="0.2">
      <c r="A31" s="19"/>
      <c r="B31" s="19"/>
      <c r="C31" s="19"/>
      <c r="D31" s="20" t="s">
        <v>20</v>
      </c>
      <c r="E31" s="21">
        <f>SUMIF('Product Backlog'!E$7:E$106,"",'Product Backlog'!D$7:D$106)-SUMIF('Product Backlog'!C$7:C$106,"Removed",'Product Backlog'!D$7:D$106)</f>
        <v>0</v>
      </c>
      <c r="F31" s="19"/>
      <c r="G31" s="46"/>
      <c r="H31" s="19"/>
    </row>
  </sheetData>
  <phoneticPr fontId="2" type="noConversion"/>
  <conditionalFormatting sqref="G4:H10 E31 E5:E10 A4:D10">
    <cfRule type="expression" dxfId="45" priority="1" stopIfTrue="1">
      <formula>$F4="Planned"</formula>
    </cfRule>
    <cfRule type="expression" dxfId="44" priority="2" stopIfTrue="1">
      <formula>$F4="Ongoing"</formula>
    </cfRule>
  </conditionalFormatting>
  <conditionalFormatting sqref="F4:F10 F16:F30">
    <cfRule type="expression" dxfId="43" priority="3" stopIfTrue="1">
      <formula>$F4="Planned"</formula>
    </cfRule>
    <cfRule type="expression" dxfId="42" priority="4" stopIfTrue="1">
      <formula>$F4="Ongoing"</formula>
    </cfRule>
    <cfRule type="cellIs" dxfId="41" priority="5" stopIfTrue="1" operator="equal">
      <formula>"Unplanned"</formula>
    </cfRule>
  </conditionalFormatting>
  <conditionalFormatting sqref="E4 G16:H16 G22:H30 G17:G21 A16:E30">
    <cfRule type="expression" dxfId="40" priority="6" stopIfTrue="1">
      <formula>OR($F4="Planned",$F4="Unplanned")</formula>
    </cfRule>
    <cfRule type="expression" dxfId="39" priority="7" stopIfTrue="1">
      <formula>$F4="Ongoing"</formula>
    </cfRule>
  </conditionalFormatting>
  <dataValidations disablePrompts="1"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6"/>
  <sheetViews>
    <sheetView zoomScale="118" workbookViewId="0">
      <pane ySplit="4" topLeftCell="A5" activePane="bottomLeft" state="frozen"/>
      <selection pane="bottomLeft" activeCell="C5" sqref="C5"/>
    </sheetView>
  </sheetViews>
  <sheetFormatPr baseColWidth="10" defaultColWidth="9.140625" defaultRowHeight="12.75" x14ac:dyDescent="0.2"/>
  <cols>
    <col min="1" max="1" width="9.140625" style="29"/>
    <col min="2" max="2" width="85.5703125" style="27" customWidth="1"/>
    <col min="3" max="3" width="10.7109375" style="29" customWidth="1"/>
    <col min="4" max="6" width="9.140625" style="29"/>
    <col min="7" max="7" width="39.42578125" style="27" customWidth="1"/>
    <col min="8" max="16384" width="9.140625" style="30"/>
  </cols>
  <sheetData>
    <row r="1" spans="1:7" ht="18" x14ac:dyDescent="0.2">
      <c r="A1" s="48" t="s">
        <v>5</v>
      </c>
      <c r="C1" s="28" t="s">
        <v>74</v>
      </c>
    </row>
    <row r="2" spans="1:7" x14ac:dyDescent="0.2">
      <c r="D2" s="71"/>
    </row>
    <row r="4" spans="1:7" ht="13.5" thickBot="1" x14ac:dyDescent="0.25">
      <c r="A4" s="39" t="s">
        <v>21</v>
      </c>
      <c r="B4" s="40" t="s">
        <v>6</v>
      </c>
      <c r="C4" s="39" t="s">
        <v>3</v>
      </c>
      <c r="D4" s="39" t="s">
        <v>18</v>
      </c>
      <c r="E4" s="39" t="s">
        <v>13</v>
      </c>
      <c r="F4" s="39" t="s">
        <v>73</v>
      </c>
      <c r="G4" s="40" t="s">
        <v>28</v>
      </c>
    </row>
    <row r="5" spans="1:7" x14ac:dyDescent="0.2">
      <c r="A5" s="94" t="s">
        <v>115</v>
      </c>
      <c r="B5" s="58" t="s">
        <v>114</v>
      </c>
      <c r="C5" s="112" t="s">
        <v>19</v>
      </c>
      <c r="D5"/>
      <c r="E5"/>
      <c r="F5"/>
      <c r="G5"/>
    </row>
    <row r="6" spans="1:7" ht="25.5" x14ac:dyDescent="0.2">
      <c r="A6" s="94" t="s">
        <v>116</v>
      </c>
      <c r="B6" s="58" t="s">
        <v>117</v>
      </c>
      <c r="C6" s="112" t="s">
        <v>19</v>
      </c>
      <c r="D6"/>
      <c r="E6"/>
      <c r="F6"/>
      <c r="G6"/>
    </row>
    <row r="7" spans="1:7" ht="25.5" x14ac:dyDescent="0.2">
      <c r="A7" s="29" t="s">
        <v>133</v>
      </c>
      <c r="B7" s="27" t="s">
        <v>132</v>
      </c>
      <c r="C7" s="112" t="s">
        <v>19</v>
      </c>
      <c r="D7"/>
      <c r="E7"/>
      <c r="F7"/>
      <c r="G7"/>
    </row>
    <row r="8" spans="1:7" x14ac:dyDescent="0.2">
      <c r="A8" s="29" t="s">
        <v>134</v>
      </c>
      <c r="B8" s="27" t="s">
        <v>136</v>
      </c>
      <c r="C8" s="112" t="s">
        <v>19</v>
      </c>
      <c r="D8"/>
      <c r="E8"/>
      <c r="F8"/>
      <c r="G8"/>
    </row>
    <row r="9" spans="1:7" x14ac:dyDescent="0.2">
      <c r="A9" s="94" t="s">
        <v>135</v>
      </c>
      <c r="B9" s="27" t="s">
        <v>137</v>
      </c>
      <c r="C9" s="112" t="s">
        <v>19</v>
      </c>
      <c r="D9"/>
      <c r="E9"/>
      <c r="F9"/>
      <c r="G9"/>
    </row>
    <row r="10" spans="1:7" ht="25.5" x14ac:dyDescent="0.2">
      <c r="A10" s="94" t="s">
        <v>121</v>
      </c>
      <c r="B10" s="58" t="s">
        <v>118</v>
      </c>
      <c r="C10" s="112" t="s">
        <v>19</v>
      </c>
      <c r="D10"/>
      <c r="E10"/>
      <c r="F10"/>
      <c r="G10"/>
    </row>
    <row r="11" spans="1:7" x14ac:dyDescent="0.2">
      <c r="A11" s="94" t="s">
        <v>122</v>
      </c>
      <c r="B11" s="58" t="s">
        <v>119</v>
      </c>
      <c r="C11" s="112" t="s">
        <v>19</v>
      </c>
      <c r="D11"/>
      <c r="E11"/>
      <c r="F11"/>
      <c r="G11"/>
    </row>
    <row r="12" spans="1:7" x14ac:dyDescent="0.2">
      <c r="A12" s="94" t="s">
        <v>123</v>
      </c>
      <c r="B12" s="58" t="s">
        <v>120</v>
      </c>
      <c r="C12" s="112" t="s">
        <v>19</v>
      </c>
      <c r="D12"/>
      <c r="E12"/>
      <c r="F12"/>
      <c r="G12"/>
    </row>
    <row r="13" spans="1:7" x14ac:dyDescent="0.2">
      <c r="A13" s="94" t="s">
        <v>125</v>
      </c>
      <c r="B13" s="58" t="s">
        <v>124</v>
      </c>
      <c r="C13" s="112" t="s">
        <v>19</v>
      </c>
      <c r="D13"/>
      <c r="E13"/>
      <c r="F13"/>
      <c r="G13"/>
    </row>
    <row r="14" spans="1:7" ht="25.5" x14ac:dyDescent="0.2">
      <c r="A14" s="94" t="s">
        <v>146</v>
      </c>
      <c r="B14" s="58" t="s">
        <v>147</v>
      </c>
      <c r="C14" s="112" t="s">
        <v>19</v>
      </c>
      <c r="D14"/>
      <c r="E14"/>
      <c r="F14"/>
      <c r="G14"/>
    </row>
    <row r="15" spans="1:7" x14ac:dyDescent="0.2">
      <c r="A15" s="29" t="s">
        <v>142</v>
      </c>
      <c r="B15" s="116" t="s">
        <v>143</v>
      </c>
      <c r="C15" s="112" t="s">
        <v>19</v>
      </c>
    </row>
    <row r="16" spans="1:7" x14ac:dyDescent="0.2">
      <c r="A16" s="94" t="s">
        <v>126</v>
      </c>
      <c r="B16" s="27" t="s">
        <v>144</v>
      </c>
      <c r="C16" s="112" t="s">
        <v>19</v>
      </c>
    </row>
    <row r="17" spans="1:3" x14ac:dyDescent="0.2">
      <c r="A17" s="94" t="s">
        <v>127</v>
      </c>
      <c r="B17" s="27" t="s">
        <v>145</v>
      </c>
      <c r="C17" s="112" t="s">
        <v>19</v>
      </c>
    </row>
    <row r="18" spans="1:3" x14ac:dyDescent="0.2">
      <c r="A18" s="115" t="s">
        <v>138</v>
      </c>
      <c r="B18" s="113" t="s">
        <v>128</v>
      </c>
      <c r="C18" s="112" t="s">
        <v>19</v>
      </c>
    </row>
    <row r="19" spans="1:3" x14ac:dyDescent="0.2">
      <c r="A19" s="115" t="s">
        <v>139</v>
      </c>
      <c r="B19" s="113" t="s">
        <v>129</v>
      </c>
      <c r="C19" s="112" t="s">
        <v>19</v>
      </c>
    </row>
    <row r="20" spans="1:3" x14ac:dyDescent="0.2">
      <c r="A20" s="115" t="s">
        <v>140</v>
      </c>
      <c r="B20" s="113" t="s">
        <v>130</v>
      </c>
      <c r="C20" s="112" t="s">
        <v>19</v>
      </c>
    </row>
    <row r="21" spans="1:3" x14ac:dyDescent="0.2">
      <c r="A21" s="115" t="s">
        <v>141</v>
      </c>
      <c r="B21" s="113" t="s">
        <v>131</v>
      </c>
      <c r="C21" s="112" t="s">
        <v>19</v>
      </c>
    </row>
    <row r="22" spans="1:3" x14ac:dyDescent="0.2">
      <c r="C22" s="112"/>
    </row>
    <row r="23" spans="1:3" x14ac:dyDescent="0.2">
      <c r="C23" s="112"/>
    </row>
    <row r="24" spans="1:3" x14ac:dyDescent="0.2">
      <c r="C24" s="112"/>
    </row>
    <row r="25" spans="1:3" x14ac:dyDescent="0.2">
      <c r="C25" s="112"/>
    </row>
    <row r="26" spans="1:3" x14ac:dyDescent="0.2">
      <c r="C26" s="112"/>
    </row>
    <row r="27" spans="1:3" x14ac:dyDescent="0.2">
      <c r="C27" s="112"/>
    </row>
    <row r="28" spans="1:3" x14ac:dyDescent="0.2">
      <c r="C28" s="112"/>
    </row>
    <row r="29" spans="1:3" x14ac:dyDescent="0.2">
      <c r="C29" s="112"/>
    </row>
    <row r="30" spans="1:3" x14ac:dyDescent="0.2">
      <c r="C30" s="112"/>
    </row>
    <row r="31" spans="1:3" x14ac:dyDescent="0.2">
      <c r="C31" s="112"/>
    </row>
    <row r="32" spans="1:3" x14ac:dyDescent="0.2">
      <c r="C32" s="112"/>
    </row>
    <row r="33" spans="3:10" x14ac:dyDescent="0.2">
      <c r="C33" s="112"/>
    </row>
    <row r="40" spans="3:10" x14ac:dyDescent="0.2">
      <c r="J40" s="69"/>
    </row>
    <row r="45" spans="3:10" x14ac:dyDescent="0.2">
      <c r="E45" s="94"/>
      <c r="G45" s="70"/>
    </row>
    <row r="56" spans="1:6" x14ac:dyDescent="0.2">
      <c r="A56" s="30"/>
      <c r="C56" s="30"/>
      <c r="D56" s="30"/>
      <c r="E56" s="30"/>
      <c r="F56" s="30"/>
    </row>
  </sheetData>
  <sortState xmlns:xlrd2="http://schemas.microsoft.com/office/spreadsheetml/2017/richdata2" ref="A5:G56">
    <sortCondition ref="E5"/>
    <sortCondition ref="C5"/>
  </sortState>
  <phoneticPr fontId="2" type="noConversion"/>
  <conditionalFormatting sqref="G47:G55 C48:C49 G26:G44 A57:G166 B50:F55 A4:G4 B34:F47 G18:G24 A18:A55 B18:B33 D18:F33 A10:A14 A5">
    <cfRule type="expression" dxfId="38" priority="4" stopIfTrue="1">
      <formula>$C4="Done"</formula>
    </cfRule>
    <cfRule type="expression" dxfId="37" priority="5" stopIfTrue="1">
      <formula>$C4="Ongoing"</formula>
    </cfRule>
    <cfRule type="expression" dxfId="36" priority="6" stopIfTrue="1">
      <formula>$C4="Removed"</formula>
    </cfRule>
  </conditionalFormatting>
  <conditionalFormatting sqref="G56">
    <cfRule type="expression" dxfId="35" priority="7" stopIfTrue="1">
      <formula>$C46="Done"</formula>
    </cfRule>
    <cfRule type="expression" dxfId="34" priority="8" stopIfTrue="1">
      <formula>$C46="Ongoing"</formula>
    </cfRule>
    <cfRule type="expression" dxfId="33" priority="9" stopIfTrue="1">
      <formula>$C46="Removed"</formula>
    </cfRule>
  </conditionalFormatting>
  <conditionalFormatting sqref="G45:G46">
    <cfRule type="expression" dxfId="32" priority="10" stopIfTrue="1">
      <formula>#REF!="Done"</formula>
    </cfRule>
    <cfRule type="expression" dxfId="31" priority="11" stopIfTrue="1">
      <formula>#REF!="Ongoing"</formula>
    </cfRule>
    <cfRule type="expression" dxfId="30" priority="12" stopIfTrue="1">
      <formula>#REF!="Removed"</formula>
    </cfRule>
  </conditionalFormatting>
  <conditionalFormatting sqref="G25">
    <cfRule type="expression" dxfId="29" priority="13" stopIfTrue="1">
      <formula>#REF!="Done"</formula>
    </cfRule>
    <cfRule type="expression" dxfId="28" priority="14" stopIfTrue="1">
      <formula>#REF!="Ongoing"</formula>
    </cfRule>
    <cfRule type="expression" dxfId="27" priority="15" stopIfTrue="1">
      <formula>#REF!="Removed"</formula>
    </cfRule>
  </conditionalFormatting>
  <conditionalFormatting sqref="C5 A18:B21 C10:C14 C22:C33">
    <cfRule type="expression" dxfId="26" priority="19" stopIfTrue="1">
      <formula>$B5="Done"</formula>
    </cfRule>
    <cfRule type="expression" dxfId="25" priority="20" stopIfTrue="1">
      <formula>$B5="Ongoing"</formula>
    </cfRule>
    <cfRule type="expression" dxfId="24" priority="21" stopIfTrue="1">
      <formula>$B5="Removed"</formula>
    </cfRule>
  </conditionalFormatting>
  <conditionalFormatting sqref="A6">
    <cfRule type="expression" dxfId="23" priority="25" stopIfTrue="1">
      <formula>$C7="Done"</formula>
    </cfRule>
    <cfRule type="expression" dxfId="22" priority="26" stopIfTrue="1">
      <formula>$C7="Ongoing"</formula>
    </cfRule>
    <cfRule type="expression" dxfId="21" priority="27" stopIfTrue="1">
      <formula>$C7="Removed"</formula>
    </cfRule>
  </conditionalFormatting>
  <conditionalFormatting sqref="C7:C8">
    <cfRule type="expression" dxfId="20" priority="34" stopIfTrue="1">
      <formula>$B6="Done"</formula>
    </cfRule>
    <cfRule type="expression" dxfId="19" priority="35" stopIfTrue="1">
      <formula>$B6="Ongoing"</formula>
    </cfRule>
    <cfRule type="expression" dxfId="18" priority="36" stopIfTrue="1">
      <formula>$B6="Removed"</formula>
    </cfRule>
  </conditionalFormatting>
  <conditionalFormatting sqref="C6 C18:C21">
    <cfRule type="expression" dxfId="17" priority="37" stopIfTrue="1">
      <formula>#REF!="Done"</formula>
    </cfRule>
    <cfRule type="expression" dxfId="16" priority="38" stopIfTrue="1">
      <formula>#REF!="Ongoing"</formula>
    </cfRule>
    <cfRule type="expression" dxfId="15" priority="39" stopIfTrue="1">
      <formula>#REF!="Removed"</formula>
    </cfRule>
  </conditionalFormatting>
  <conditionalFormatting sqref="C9">
    <cfRule type="expression" dxfId="14" priority="43" stopIfTrue="1">
      <formula>$B7="Done"</formula>
    </cfRule>
    <cfRule type="expression" dxfId="13" priority="44" stopIfTrue="1">
      <formula>$B7="Ongoing"</formula>
    </cfRule>
    <cfRule type="expression" dxfId="12" priority="45" stopIfTrue="1">
      <formula>$B7="Removed"</formula>
    </cfRule>
  </conditionalFormatting>
  <conditionalFormatting sqref="C15:G17">
    <cfRule type="expression" dxfId="11" priority="46" stopIfTrue="1">
      <formula>$B18="Done"</formula>
    </cfRule>
    <cfRule type="expression" dxfId="10" priority="47" stopIfTrue="1">
      <formula>$B18="Ongoing"</formula>
    </cfRule>
    <cfRule type="expression" dxfId="9" priority="48" stopIfTrue="1">
      <formula>$B18="Removed"</formula>
    </cfRule>
  </conditionalFormatting>
  <dataValidations count="1">
    <dataValidation type="list" allowBlank="1" showInputMessage="1" sqref="C57:C166 B18:B21 C4:C55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1</xdr:col>
                    <xdr:colOff>4133850</xdr:colOff>
                    <xdr:row>0</xdr:row>
                    <xdr:rowOff>95250</xdr:rowOff>
                  </from>
                  <to>
                    <xdr:col>2</xdr:col>
                    <xdr:colOff>466725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workbookViewId="0">
      <selection activeCell="D7" sqref="D7"/>
    </sheetView>
  </sheetViews>
  <sheetFormatPr baseColWidth="10" defaultColWidth="8.7109375" defaultRowHeight="12.75" x14ac:dyDescent="0.2"/>
  <cols>
    <col min="1" max="1" width="11.7109375" customWidth="1"/>
    <col min="2" max="4" width="8.7109375" customWidth="1"/>
    <col min="5" max="5" width="14.42578125" customWidth="1"/>
    <col min="6" max="6" width="15.7109375" hidden="1" customWidth="1"/>
    <col min="7" max="8" width="5.42578125" hidden="1" customWidth="1"/>
    <col min="9" max="9" width="7.28515625" hidden="1" customWidth="1"/>
    <col min="10" max="10" width="4.28515625" hidden="1" customWidth="1"/>
    <col min="11" max="13" width="6.7109375" hidden="1" customWidth="1"/>
    <col min="14" max="16" width="9.140625" hidden="1" customWidth="1"/>
    <col min="17" max="17" width="10.42578125" hidden="1" customWidth="1"/>
  </cols>
  <sheetData>
    <row r="1" spans="1:26" ht="18" x14ac:dyDescent="0.2">
      <c r="A1" s="48" t="s">
        <v>33</v>
      </c>
    </row>
    <row r="3" spans="1:26" x14ac:dyDescent="0.2">
      <c r="A3" t="s">
        <v>37</v>
      </c>
      <c r="D3">
        <v>137</v>
      </c>
      <c r="F3" t="s">
        <v>39</v>
      </c>
      <c r="G3" s="49">
        <f>IF(COUNT(B28:B39)=0,1,COUNT(B28:B39))</f>
        <v>1</v>
      </c>
    </row>
    <row r="4" spans="1:26" x14ac:dyDescent="0.2">
      <c r="A4" t="s">
        <v>40</v>
      </c>
      <c r="D4">
        <v>3</v>
      </c>
      <c r="E4" t="s">
        <v>41</v>
      </c>
      <c r="F4" t="s">
        <v>58</v>
      </c>
      <c r="G4" s="49">
        <f>IF(COUNT(D28:D51)=0,1,COUNT(D28:D51)+1)</f>
        <v>1</v>
      </c>
    </row>
    <row r="5" spans="1:26" x14ac:dyDescent="0.2">
      <c r="F5" t="s">
        <v>42</v>
      </c>
      <c r="G5" s="49">
        <f>IF(G4&gt;D4,G4-D4,0)</f>
        <v>0</v>
      </c>
      <c r="Z5" s="32" t="s">
        <v>75</v>
      </c>
    </row>
    <row r="6" spans="1:26" x14ac:dyDescent="0.2">
      <c r="A6" s="1" t="s">
        <v>72</v>
      </c>
      <c r="F6" t="s">
        <v>43</v>
      </c>
      <c r="G6" s="49">
        <f>TrendSprintCount-TrendOffset</f>
        <v>1</v>
      </c>
      <c r="Z6" s="32" t="s">
        <v>76</v>
      </c>
    </row>
    <row r="7" spans="1:26" x14ac:dyDescent="0.2">
      <c r="A7" t="s">
        <v>46</v>
      </c>
      <c r="D7">
        <v>30</v>
      </c>
      <c r="Z7" s="32" t="s">
        <v>79</v>
      </c>
    </row>
    <row r="8" spans="1:26" x14ac:dyDescent="0.2">
      <c r="A8" s="117">
        <f>D$4</f>
        <v>3</v>
      </c>
      <c r="B8" s="117"/>
      <c r="D8" s="52" t="str">
        <f ca="1">IF(D28="","",AVERAGE(OFFSET(D27,TrendOffset,0,SprintsInTrend,1)))</f>
        <v/>
      </c>
      <c r="Z8" s="32" t="s">
        <v>80</v>
      </c>
    </row>
    <row r="9" spans="1:26" x14ac:dyDescent="0.2">
      <c r="A9" t="s">
        <v>59</v>
      </c>
      <c r="D9" s="52" t="str">
        <f ca="1">IF(D28="","",AVERAGE(OFFSET(D27,1,0,SprintCount,1)))</f>
        <v/>
      </c>
      <c r="F9" t="s">
        <v>51</v>
      </c>
      <c r="G9" s="49">
        <f ca="1">IF(M28="",1,COUNT(M28:M110))</f>
        <v>1</v>
      </c>
      <c r="Z9" s="32" t="s">
        <v>81</v>
      </c>
    </row>
    <row r="10" spans="1:26" x14ac:dyDescent="0.2">
      <c r="A10" t="s">
        <v>48</v>
      </c>
      <c r="D10" s="52" t="str">
        <f>IF(D28="","",AVERAGE(LastEight))</f>
        <v/>
      </c>
      <c r="Z10" s="32" t="s">
        <v>77</v>
      </c>
    </row>
    <row r="11" spans="1:26" x14ac:dyDescent="0.2">
      <c r="A11" t="s">
        <v>49</v>
      </c>
      <c r="D11" s="52" t="str">
        <f>IF(D28="","",IF(TrendSprintCount&lt;4,D10,AVERAGE(SMALL(LastEight,1),SMALL(LastEight,2),SMALL(LastEight,3))))</f>
        <v/>
      </c>
      <c r="Z11" s="32" t="s">
        <v>78</v>
      </c>
    </row>
    <row r="12" spans="1:26" x14ac:dyDescent="0.2">
      <c r="A12" t="s">
        <v>24</v>
      </c>
      <c r="D12" s="52" t="str">
        <f ca="1">IF(M29="","",M28-M29)</f>
        <v/>
      </c>
      <c r="Z12" s="32" t="s">
        <v>82</v>
      </c>
    </row>
    <row r="13" spans="1:26" x14ac:dyDescent="0.2">
      <c r="F13" s="50" t="s">
        <v>52</v>
      </c>
      <c r="Z13" s="32" t="s">
        <v>83</v>
      </c>
    </row>
    <row r="14" spans="1:26" x14ac:dyDescent="0.2">
      <c r="A14" s="1" t="s">
        <v>53</v>
      </c>
    </row>
    <row r="15" spans="1:26" x14ac:dyDescent="0.2">
      <c r="A15" t="s">
        <v>54</v>
      </c>
      <c r="D15" s="53">
        <f>IF(D7="",0,ROUNDUP(D3/D7*0.6,0))</f>
        <v>3</v>
      </c>
    </row>
    <row r="16" spans="1:26" x14ac:dyDescent="0.2">
      <c r="A16" t="s">
        <v>56</v>
      </c>
      <c r="D16" s="53">
        <f>IF(D7="",0,ROUNDUP(D3/D7,0))</f>
        <v>5</v>
      </c>
    </row>
    <row r="17" spans="1:17" x14ac:dyDescent="0.2">
      <c r="A17" t="s">
        <v>55</v>
      </c>
      <c r="D17" s="53">
        <f>IF(D7="",0,ROUNDUP(D3/D7*1.6,0))</f>
        <v>8</v>
      </c>
      <c r="F17" t="s">
        <v>60</v>
      </c>
      <c r="G17">
        <f>IF(OR(D28="",D29=""),1,STDEV(D28:D51))</f>
        <v>1</v>
      </c>
    </row>
    <row r="18" spans="1:17" x14ac:dyDescent="0.2">
      <c r="A18" s="117">
        <f>D$4</f>
        <v>3</v>
      </c>
      <c r="B18" s="117"/>
      <c r="D18" s="53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47</v>
      </c>
      <c r="D19" s="53" t="str">
        <f ca="1">IF(D9="","",IF(LastRealized="",ROUNDUP(LastPlanned/D9+SprintCount-1,0),ROUNDUP((LastPlanned-LastRealized)/D9,0)+SprintCount))</f>
        <v/>
      </c>
      <c r="F19" t="s">
        <v>63</v>
      </c>
      <c r="G19">
        <f ca="1">LastPlanned</f>
        <v>137</v>
      </c>
    </row>
    <row r="20" spans="1:17" x14ac:dyDescent="0.2">
      <c r="A20" t="s">
        <v>48</v>
      </c>
      <c r="D20" s="53" t="str">
        <f>IF(D10="","",IF(LastRealized="",ROUNDUP(LastPlanned/D10+SprintCount-1,0),ROUNDUP((LastPlanned-LastRealized)/D10,0)+SprintCount))</f>
        <v/>
      </c>
      <c r="F20" t="s">
        <v>64</v>
      </c>
      <c r="G20">
        <f ca="1">LastRealized</f>
        <v>1</v>
      </c>
    </row>
    <row r="21" spans="1:17" x14ac:dyDescent="0.2">
      <c r="A21" t="s">
        <v>49</v>
      </c>
      <c r="D21" s="53" t="str">
        <f>IF(D11="","",IF(LastRealized="",ROUNDUP(LastPlanned/D11+SprintCount-1,0),ROUNDUP((LastPlanned-LastRealized)/D11,0)+SprintCount))</f>
        <v/>
      </c>
    </row>
    <row r="22" spans="1:17" x14ac:dyDescent="0.2">
      <c r="A22" t="s">
        <v>24</v>
      </c>
      <c r="D22" s="53" t="str">
        <f ca="1">IF(COUNT(M28:M51)-1&gt;0,COUNT(M28:M51)-1,"")</f>
        <v/>
      </c>
    </row>
    <row r="23" spans="1:17" x14ac:dyDescent="0.2">
      <c r="A23" t="s">
        <v>61</v>
      </c>
      <c r="D23" s="53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62</v>
      </c>
      <c r="D24" s="53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119" t="s">
        <v>24</v>
      </c>
      <c r="G26" s="119"/>
      <c r="H26" s="119"/>
      <c r="I26" s="119"/>
      <c r="J26" s="119"/>
      <c r="K26" s="119"/>
      <c r="L26" s="119"/>
      <c r="M26" s="119"/>
      <c r="N26" s="119"/>
      <c r="O26" s="119" t="s">
        <v>69</v>
      </c>
      <c r="P26" s="119"/>
      <c r="Q26" s="119"/>
    </row>
    <row r="27" spans="1:17" ht="26.25" thickBot="1" x14ac:dyDescent="0.25">
      <c r="A27" s="54" t="s">
        <v>13</v>
      </c>
      <c r="B27" s="55" t="s">
        <v>65</v>
      </c>
      <c r="C27" s="55" t="s">
        <v>66</v>
      </c>
      <c r="D27" s="56" t="s">
        <v>67</v>
      </c>
      <c r="E27" s="56" t="s">
        <v>68</v>
      </c>
      <c r="F27" s="57" t="s">
        <v>35</v>
      </c>
      <c r="G27" s="118" t="s">
        <v>38</v>
      </c>
      <c r="H27" s="118"/>
      <c r="I27" s="57" t="s">
        <v>36</v>
      </c>
      <c r="J27" s="58"/>
      <c r="K27" s="57" t="s">
        <v>57</v>
      </c>
      <c r="L27" s="57" t="s">
        <v>50</v>
      </c>
      <c r="M27" s="57" t="s">
        <v>45</v>
      </c>
      <c r="N27" s="59" t="s">
        <v>44</v>
      </c>
      <c r="O27" s="57" t="s">
        <v>34</v>
      </c>
      <c r="P27" s="57" t="s">
        <v>70</v>
      </c>
      <c r="Q27" s="57" t="s">
        <v>71</v>
      </c>
    </row>
    <row r="28" spans="1:17" x14ac:dyDescent="0.2">
      <c r="A28" s="51">
        <v>1</v>
      </c>
      <c r="B28" s="2">
        <f>D3</f>
        <v>137</v>
      </c>
      <c r="E28" s="51">
        <f>B28</f>
        <v>137</v>
      </c>
      <c r="F28" s="49">
        <f>B28</f>
        <v>137</v>
      </c>
      <c r="G28" s="49">
        <f t="shared" ref="G28:G51" si="0">F28</f>
        <v>137</v>
      </c>
      <c r="H28" s="49">
        <f t="shared" ref="H28:H33" si="1">I28</f>
        <v>0</v>
      </c>
      <c r="I28" s="49">
        <v>0</v>
      </c>
      <c r="K28">
        <f t="shared" ref="K28:K33" si="2">IF(F28&lt;I28,I28,F28)</f>
        <v>137</v>
      </c>
      <c r="L28" s="49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137</v>
      </c>
      <c r="M28" s="49">
        <f ca="1">L28</f>
        <v>137</v>
      </c>
      <c r="N28" s="49">
        <f t="shared" ref="N28:N51" ca="1" si="4">OFFSET($I$27,TrendSprintCount,0,1,1)</f>
        <v>0</v>
      </c>
      <c r="O28" s="60" t="str">
        <f t="shared" ref="O28:O51" ca="1" si="5">D$9</f>
        <v/>
      </c>
      <c r="P28" s="60" t="str">
        <f t="shared" ref="P28:P51" si="6">D$10</f>
        <v/>
      </c>
      <c r="Q28" s="60" t="str">
        <f t="shared" ref="Q28:Q51" si="7">D$11</f>
        <v/>
      </c>
    </row>
    <row r="29" spans="1:17" x14ac:dyDescent="0.2">
      <c r="A29" s="51">
        <v>2</v>
      </c>
      <c r="B29" s="2" t="str">
        <f t="shared" ref="B29:B51" si="8">IF(OR(B28="",C28=""),"",IF(D28="",IF(B28-C28&lt;=0,"",B28-C28),IF(B28-D28&lt;=0,"",B28-D28)))</f>
        <v/>
      </c>
      <c r="E29" s="51" t="str">
        <f>IF(B29="","",IF(D28="",E28,B29+SUM(D$28:D28)))</f>
        <v/>
      </c>
      <c r="F29" s="49" t="str">
        <f t="shared" ref="F29:F34" si="9">IF(B29="",IF(B28="","",IF(D28="","",I28)),IF(AND(D28="",C28=""),"",IF(AND(D28="",C28&lt;&gt;""),IF(I28&gt;F28,F28,I28),F28-D28)))</f>
        <v/>
      </c>
      <c r="G29" s="49" t="str">
        <f t="shared" si="0"/>
        <v/>
      </c>
      <c r="H29" s="49" t="str">
        <f t="shared" si="1"/>
        <v/>
      </c>
      <c r="I29" s="49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49">
        <f t="shared" ca="1" si="3"/>
        <v>137</v>
      </c>
      <c r="M29" s="49" t="str">
        <f ca="1">IF(L29=L28,"",L29)</f>
        <v/>
      </c>
      <c r="N29" s="49">
        <f t="shared" ca="1" si="4"/>
        <v>0</v>
      </c>
      <c r="O29" s="60" t="str">
        <f t="shared" ca="1" si="5"/>
        <v/>
      </c>
      <c r="P29" s="60" t="str">
        <f t="shared" si="6"/>
        <v/>
      </c>
      <c r="Q29" s="60" t="str">
        <f t="shared" si="7"/>
        <v/>
      </c>
    </row>
    <row r="30" spans="1:17" x14ac:dyDescent="0.2">
      <c r="A30" s="51">
        <v>3</v>
      </c>
      <c r="B30" s="2" t="str">
        <f t="shared" si="8"/>
        <v/>
      </c>
      <c r="E30" s="51" t="str">
        <f>IF(B30="","",IF(D29="",E29,B30+SUM(D$28:D29)))</f>
        <v/>
      </c>
      <c r="F30" s="49" t="str">
        <f t="shared" si="9"/>
        <v/>
      </c>
      <c r="G30" s="49" t="str">
        <f t="shared" si="0"/>
        <v/>
      </c>
      <c r="H30" s="49" t="str">
        <f t="shared" si="1"/>
        <v/>
      </c>
      <c r="I30" s="49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49">
        <f t="shared" ca="1" si="3"/>
        <v>137</v>
      </c>
      <c r="M30" s="49" t="str">
        <f t="shared" ref="M30:M51" ca="1" si="10">IF(L30=L29,"",L30)</f>
        <v/>
      </c>
      <c r="N30" s="49">
        <f t="shared" ca="1" si="4"/>
        <v>0</v>
      </c>
      <c r="O30" s="60" t="str">
        <f t="shared" ca="1" si="5"/>
        <v/>
      </c>
      <c r="P30" s="60" t="str">
        <f t="shared" si="6"/>
        <v/>
      </c>
      <c r="Q30" s="60" t="str">
        <f t="shared" si="7"/>
        <v/>
      </c>
    </row>
    <row r="31" spans="1:17" x14ac:dyDescent="0.2">
      <c r="A31" s="51">
        <v>4</v>
      </c>
      <c r="B31" s="2" t="str">
        <f t="shared" si="8"/>
        <v/>
      </c>
      <c r="E31" s="51" t="str">
        <f>IF(B31="","",IF(D30="",E30,B31+SUM(D$28:D30)))</f>
        <v/>
      </c>
      <c r="F31" s="49" t="str">
        <f t="shared" si="9"/>
        <v/>
      </c>
      <c r="G31" s="49" t="str">
        <f t="shared" si="0"/>
        <v/>
      </c>
      <c r="H31" s="49" t="str">
        <f t="shared" si="1"/>
        <v/>
      </c>
      <c r="I31" s="49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49">
        <f t="shared" ca="1" si="3"/>
        <v>137</v>
      </c>
      <c r="M31" s="49" t="str">
        <f t="shared" ca="1" si="10"/>
        <v/>
      </c>
      <c r="N31" s="49">
        <f t="shared" ca="1" si="4"/>
        <v>0</v>
      </c>
      <c r="O31" s="60" t="str">
        <f t="shared" ca="1" si="5"/>
        <v/>
      </c>
      <c r="P31" s="60" t="str">
        <f t="shared" si="6"/>
        <v/>
      </c>
      <c r="Q31" s="60" t="str">
        <f t="shared" si="7"/>
        <v/>
      </c>
    </row>
    <row r="32" spans="1:17" x14ac:dyDescent="0.2">
      <c r="A32" s="51">
        <v>5</v>
      </c>
      <c r="B32" s="2" t="str">
        <f>IF(OR(B31="",C31=""),"",IF(D31="",IF(B31-C31&lt;=0,"",B31-C31),IF(B31-D31&lt;=0,"",B31-D31)))</f>
        <v/>
      </c>
      <c r="E32" s="51" t="str">
        <f>IF(B32="","",IF(D31="",E31,B32+SUM(D$28:D31)))</f>
        <v/>
      </c>
      <c r="F32" s="49" t="str">
        <f t="shared" si="9"/>
        <v/>
      </c>
      <c r="G32" s="49" t="str">
        <f t="shared" si="0"/>
        <v/>
      </c>
      <c r="H32" s="49" t="str">
        <f t="shared" si="1"/>
        <v/>
      </c>
      <c r="I32" s="49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49">
        <f t="shared" ca="1" si="3"/>
        <v>137</v>
      </c>
      <c r="M32" s="49" t="str">
        <f t="shared" ca="1" si="10"/>
        <v/>
      </c>
      <c r="N32" s="49">
        <f t="shared" ca="1" si="4"/>
        <v>0</v>
      </c>
      <c r="O32" s="60" t="str">
        <f t="shared" ca="1" si="5"/>
        <v/>
      </c>
      <c r="P32" s="60" t="str">
        <f t="shared" si="6"/>
        <v/>
      </c>
      <c r="Q32" s="60" t="str">
        <f t="shared" si="7"/>
        <v/>
      </c>
    </row>
    <row r="33" spans="1:17" x14ac:dyDescent="0.2">
      <c r="A33" s="51">
        <v>6</v>
      </c>
      <c r="B33" s="2" t="str">
        <f>IF(OR(B32="",C32=""),"",IF(D32="",IF(B32-C32&lt;=0,"",B32-C32),IF(B32-D32&lt;=0,"",B32-D32)))</f>
        <v/>
      </c>
      <c r="C33" s="2"/>
      <c r="D33" s="2"/>
      <c r="E33" s="51" t="str">
        <f>IF(B33="","",IF(D32="",E32,B33+SUM(D$28:D32)))</f>
        <v/>
      </c>
      <c r="F33" s="49" t="str">
        <f t="shared" si="9"/>
        <v/>
      </c>
      <c r="G33" s="49" t="str">
        <f t="shared" si="0"/>
        <v/>
      </c>
      <c r="H33" s="49" t="str">
        <f t="shared" si="1"/>
        <v/>
      </c>
      <c r="I33" s="49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49">
        <f t="shared" ca="1" si="3"/>
        <v>137</v>
      </c>
      <c r="M33" s="49" t="str">
        <f t="shared" ca="1" si="10"/>
        <v/>
      </c>
      <c r="N33" s="49">
        <f t="shared" ca="1" si="4"/>
        <v>0</v>
      </c>
      <c r="O33" s="60" t="str">
        <f t="shared" ca="1" si="5"/>
        <v/>
      </c>
      <c r="P33" s="60" t="str">
        <f t="shared" si="6"/>
        <v/>
      </c>
      <c r="Q33" s="60" t="str">
        <f t="shared" si="7"/>
        <v/>
      </c>
    </row>
    <row r="34" spans="1:17" x14ac:dyDescent="0.2">
      <c r="A34" s="51">
        <v>7</v>
      </c>
      <c r="B34" s="2" t="str">
        <f>IF(OR(B33="",C33=""),"",IF(D33="",IF(B33-C33&lt;=0,"",B33-C33),IF(B33-D33&lt;=0,"",B33-D33)))</f>
        <v/>
      </c>
      <c r="C34" s="2"/>
      <c r="D34" s="2"/>
      <c r="E34" s="51" t="str">
        <f>IF(B34="","",IF(D33="",E33,B34+SUM(D$28:D33)))</f>
        <v/>
      </c>
      <c r="F34" s="49" t="str">
        <f t="shared" si="9"/>
        <v/>
      </c>
      <c r="G34" s="49" t="str">
        <f t="shared" si="0"/>
        <v/>
      </c>
      <c r="H34" s="49" t="str">
        <f t="shared" ref="H34:H51" si="11">I34</f>
        <v/>
      </c>
      <c r="I34" s="49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49">
        <f t="shared" ca="1" si="3"/>
        <v>137</v>
      </c>
      <c r="M34" s="49" t="str">
        <f t="shared" ca="1" si="10"/>
        <v/>
      </c>
      <c r="N34" s="49">
        <f t="shared" ca="1" si="4"/>
        <v>0</v>
      </c>
      <c r="O34" s="60" t="str">
        <f t="shared" ca="1" si="5"/>
        <v/>
      </c>
      <c r="P34" s="60" t="str">
        <f t="shared" si="6"/>
        <v/>
      </c>
      <c r="Q34" s="60" t="str">
        <f t="shared" si="7"/>
        <v/>
      </c>
    </row>
    <row r="35" spans="1:17" x14ac:dyDescent="0.2">
      <c r="A35" s="51">
        <v>8</v>
      </c>
      <c r="B35" s="2" t="str">
        <f t="shared" si="8"/>
        <v/>
      </c>
      <c r="C35" s="2"/>
      <c r="D35" s="2"/>
      <c r="E35" s="51" t="str">
        <f>IF(B35="","",IF(D34="",E34,B35+SUM(D$28:D34)))</f>
        <v/>
      </c>
      <c r="F35" s="49" t="str">
        <f t="shared" ref="F35:F51" si="13">IF(B35="",IF(B34="","",IF(D34="","",I34)),IF(AND(D34="",C34=""),"",IF(AND(D34="",C34&lt;&gt;""),IF(I34&gt;F34,F34,I34),F34-D34)))</f>
        <v/>
      </c>
      <c r="G35" s="49" t="str">
        <f t="shared" si="0"/>
        <v/>
      </c>
      <c r="H35" s="49" t="str">
        <f t="shared" si="11"/>
        <v/>
      </c>
      <c r="I35" s="49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49">
        <f t="shared" ca="1" si="3"/>
        <v>137</v>
      </c>
      <c r="M35" s="49" t="str">
        <f t="shared" ca="1" si="10"/>
        <v/>
      </c>
      <c r="N35" s="49">
        <f t="shared" ca="1" si="4"/>
        <v>0</v>
      </c>
      <c r="O35" s="60" t="str">
        <f t="shared" ca="1" si="5"/>
        <v/>
      </c>
      <c r="P35" s="60" t="str">
        <f t="shared" si="6"/>
        <v/>
      </c>
      <c r="Q35" s="60" t="str">
        <f t="shared" si="7"/>
        <v/>
      </c>
    </row>
    <row r="36" spans="1:17" x14ac:dyDescent="0.2">
      <c r="A36" s="51">
        <v>9</v>
      </c>
      <c r="B36" s="2" t="str">
        <f t="shared" si="8"/>
        <v/>
      </c>
      <c r="C36" s="2"/>
      <c r="D36" s="2"/>
      <c r="E36" s="51" t="str">
        <f>IF(B36="","",IF(D35="",E35,B36+SUM(D$28:D35)))</f>
        <v/>
      </c>
      <c r="F36" s="49" t="str">
        <f t="shared" si="13"/>
        <v/>
      </c>
      <c r="G36" s="49" t="str">
        <f t="shared" si="0"/>
        <v/>
      </c>
      <c r="H36" s="49" t="str">
        <f t="shared" si="11"/>
        <v/>
      </c>
      <c r="I36" s="49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49">
        <f t="shared" ca="1" si="3"/>
        <v>137</v>
      </c>
      <c r="M36" s="49" t="str">
        <f t="shared" ca="1" si="10"/>
        <v/>
      </c>
      <c r="N36" s="49">
        <f t="shared" ca="1" si="4"/>
        <v>0</v>
      </c>
      <c r="O36" s="60" t="str">
        <f t="shared" ca="1" si="5"/>
        <v/>
      </c>
      <c r="P36" s="60" t="str">
        <f t="shared" si="6"/>
        <v/>
      </c>
      <c r="Q36" s="60" t="str">
        <f t="shared" si="7"/>
        <v/>
      </c>
    </row>
    <row r="37" spans="1:17" x14ac:dyDescent="0.2">
      <c r="A37" s="51">
        <v>10</v>
      </c>
      <c r="B37" s="2" t="str">
        <f t="shared" si="8"/>
        <v/>
      </c>
      <c r="C37" s="2"/>
      <c r="D37" s="2"/>
      <c r="E37" s="51" t="str">
        <f>IF(B37="","",IF(D36="",E36,B37+SUM(D$28:D36)))</f>
        <v/>
      </c>
      <c r="F37" s="49" t="str">
        <f t="shared" si="13"/>
        <v/>
      </c>
      <c r="G37" s="49" t="str">
        <f t="shared" si="0"/>
        <v/>
      </c>
      <c r="H37" s="49" t="str">
        <f t="shared" si="11"/>
        <v/>
      </c>
      <c r="I37" s="49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49">
        <f t="shared" ca="1" si="3"/>
        <v>137</v>
      </c>
      <c r="M37" s="49" t="str">
        <f t="shared" ca="1" si="10"/>
        <v/>
      </c>
      <c r="N37" s="49">
        <f t="shared" ca="1" si="4"/>
        <v>0</v>
      </c>
      <c r="O37" s="60" t="str">
        <f t="shared" ca="1" si="5"/>
        <v/>
      </c>
      <c r="P37" s="60" t="str">
        <f t="shared" si="6"/>
        <v/>
      </c>
      <c r="Q37" s="60" t="str">
        <f t="shared" si="7"/>
        <v/>
      </c>
    </row>
    <row r="38" spans="1:17" x14ac:dyDescent="0.2">
      <c r="A38" s="51">
        <v>11</v>
      </c>
      <c r="B38" s="2" t="str">
        <f t="shared" si="8"/>
        <v/>
      </c>
      <c r="C38" s="2"/>
      <c r="D38" s="2"/>
      <c r="E38" s="51" t="str">
        <f>IF(B38="","",IF(D37="",E37,B38+SUM(D$28:D37)))</f>
        <v/>
      </c>
      <c r="F38" s="49" t="str">
        <f t="shared" si="13"/>
        <v/>
      </c>
      <c r="G38" s="49" t="str">
        <f t="shared" si="0"/>
        <v/>
      </c>
      <c r="H38" s="49" t="str">
        <f t="shared" si="11"/>
        <v/>
      </c>
      <c r="I38" s="49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49">
        <f t="shared" ca="1" si="3"/>
        <v>137</v>
      </c>
      <c r="M38" s="49" t="str">
        <f t="shared" ca="1" si="10"/>
        <v/>
      </c>
      <c r="N38" s="49">
        <f t="shared" ca="1" si="4"/>
        <v>0</v>
      </c>
      <c r="O38" s="60" t="str">
        <f t="shared" ca="1" si="5"/>
        <v/>
      </c>
      <c r="P38" s="60" t="str">
        <f t="shared" si="6"/>
        <v/>
      </c>
      <c r="Q38" s="60" t="str">
        <f t="shared" si="7"/>
        <v/>
      </c>
    </row>
    <row r="39" spans="1:17" x14ac:dyDescent="0.2">
      <c r="A39" s="51">
        <v>12</v>
      </c>
      <c r="B39" s="2" t="str">
        <f t="shared" si="8"/>
        <v/>
      </c>
      <c r="C39" s="2"/>
      <c r="D39" s="2"/>
      <c r="E39" s="51" t="str">
        <f>IF(B39="","",IF(D38="",E38,B39+SUM(D$28:D38)))</f>
        <v/>
      </c>
      <c r="F39" s="49" t="str">
        <f t="shared" si="13"/>
        <v/>
      </c>
      <c r="G39" s="49" t="str">
        <f t="shared" si="0"/>
        <v/>
      </c>
      <c r="H39" s="49" t="str">
        <f t="shared" si="11"/>
        <v/>
      </c>
      <c r="I39" s="49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49">
        <f t="shared" ca="1" si="3"/>
        <v>137</v>
      </c>
      <c r="M39" s="49" t="str">
        <f t="shared" ca="1" si="10"/>
        <v/>
      </c>
      <c r="N39" s="49">
        <f t="shared" ca="1" si="4"/>
        <v>0</v>
      </c>
      <c r="O39" s="60" t="str">
        <f t="shared" ca="1" si="5"/>
        <v/>
      </c>
      <c r="P39" s="60" t="str">
        <f t="shared" si="6"/>
        <v/>
      </c>
      <c r="Q39" s="60" t="str">
        <f t="shared" si="7"/>
        <v/>
      </c>
    </row>
    <row r="40" spans="1:17" x14ac:dyDescent="0.2">
      <c r="A40" s="51">
        <v>13</v>
      </c>
      <c r="B40" s="2" t="str">
        <f t="shared" si="8"/>
        <v/>
      </c>
      <c r="C40" s="2"/>
      <c r="E40" s="51" t="str">
        <f>IF(B40="","",IF(D39="",E39,B40+SUM(D$28:D39)))</f>
        <v/>
      </c>
      <c r="F40" s="49" t="str">
        <f t="shared" si="13"/>
        <v/>
      </c>
      <c r="G40" s="49" t="str">
        <f t="shared" si="0"/>
        <v/>
      </c>
      <c r="H40" s="49" t="str">
        <f t="shared" si="11"/>
        <v/>
      </c>
      <c r="I40" s="49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49">
        <f t="shared" ca="1" si="3"/>
        <v>137</v>
      </c>
      <c r="M40" s="49" t="str">
        <f t="shared" ca="1" si="10"/>
        <v/>
      </c>
      <c r="N40" s="49">
        <f t="shared" ca="1" si="4"/>
        <v>0</v>
      </c>
      <c r="O40" s="60" t="str">
        <f t="shared" ca="1" si="5"/>
        <v/>
      </c>
      <c r="P40" s="60" t="str">
        <f t="shared" si="6"/>
        <v/>
      </c>
      <c r="Q40" s="60" t="str">
        <f t="shared" si="7"/>
        <v/>
      </c>
    </row>
    <row r="41" spans="1:17" x14ac:dyDescent="0.2">
      <c r="A41" s="51">
        <v>14</v>
      </c>
      <c r="B41" s="2" t="str">
        <f t="shared" si="8"/>
        <v/>
      </c>
      <c r="C41" s="2"/>
      <c r="E41" s="51" t="str">
        <f>IF(B41="","",IF(D40="",E40,B41+SUM(D$28:D40)))</f>
        <v/>
      </c>
      <c r="F41" s="49" t="str">
        <f t="shared" si="13"/>
        <v/>
      </c>
      <c r="G41" s="49" t="str">
        <f t="shared" si="0"/>
        <v/>
      </c>
      <c r="H41" s="49" t="str">
        <f t="shared" si="11"/>
        <v/>
      </c>
      <c r="I41" s="49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49">
        <f t="shared" ca="1" si="3"/>
        <v>137</v>
      </c>
      <c r="M41" s="49" t="str">
        <f t="shared" ca="1" si="10"/>
        <v/>
      </c>
      <c r="N41" s="49">
        <f t="shared" ca="1" si="4"/>
        <v>0</v>
      </c>
      <c r="O41" s="60" t="str">
        <f t="shared" ca="1" si="5"/>
        <v/>
      </c>
      <c r="P41" s="60" t="str">
        <f t="shared" si="6"/>
        <v/>
      </c>
      <c r="Q41" s="60" t="str">
        <f t="shared" si="7"/>
        <v/>
      </c>
    </row>
    <row r="42" spans="1:17" x14ac:dyDescent="0.2">
      <c r="A42" s="51">
        <v>15</v>
      </c>
      <c r="B42" s="2" t="str">
        <f t="shared" si="8"/>
        <v/>
      </c>
      <c r="C42" s="2"/>
      <c r="E42" s="51" t="str">
        <f>IF(B42="","",IF(D41="",E41,B42+SUM(D$28:D41)))</f>
        <v/>
      </c>
      <c r="F42" s="49" t="str">
        <f t="shared" si="13"/>
        <v/>
      </c>
      <c r="G42" s="49" t="str">
        <f t="shared" si="0"/>
        <v/>
      </c>
      <c r="H42" s="49" t="str">
        <f t="shared" si="11"/>
        <v/>
      </c>
      <c r="I42" s="49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49">
        <f t="shared" ca="1" si="3"/>
        <v>137</v>
      </c>
      <c r="M42" s="49" t="str">
        <f t="shared" ca="1" si="10"/>
        <v/>
      </c>
      <c r="N42" s="49">
        <f t="shared" ca="1" si="4"/>
        <v>0</v>
      </c>
      <c r="O42" s="60" t="str">
        <f t="shared" ca="1" si="5"/>
        <v/>
      </c>
      <c r="P42" s="60" t="str">
        <f t="shared" si="6"/>
        <v/>
      </c>
      <c r="Q42" s="60" t="str">
        <f t="shared" si="7"/>
        <v/>
      </c>
    </row>
    <row r="43" spans="1:17" x14ac:dyDescent="0.2">
      <c r="A43" s="51">
        <v>16</v>
      </c>
      <c r="B43" s="2" t="str">
        <f t="shared" si="8"/>
        <v/>
      </c>
      <c r="C43" s="2"/>
      <c r="E43" s="51" t="str">
        <f>IF(B43="","",IF(D42="",E42,B43+SUM(D$28:D42)))</f>
        <v/>
      </c>
      <c r="F43" s="49" t="str">
        <f t="shared" si="13"/>
        <v/>
      </c>
      <c r="G43" s="49" t="str">
        <f t="shared" si="0"/>
        <v/>
      </c>
      <c r="H43" s="49" t="str">
        <f t="shared" si="11"/>
        <v/>
      </c>
      <c r="I43" s="49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49">
        <f t="shared" ca="1" si="3"/>
        <v>137</v>
      </c>
      <c r="M43" s="49" t="str">
        <f t="shared" ca="1" si="10"/>
        <v/>
      </c>
      <c r="N43" s="49">
        <f t="shared" ca="1" si="4"/>
        <v>0</v>
      </c>
      <c r="O43" s="60" t="str">
        <f t="shared" ca="1" si="5"/>
        <v/>
      </c>
      <c r="P43" s="60" t="str">
        <f t="shared" si="6"/>
        <v/>
      </c>
      <c r="Q43" s="60" t="str">
        <f t="shared" si="7"/>
        <v/>
      </c>
    </row>
    <row r="44" spans="1:17" x14ac:dyDescent="0.2">
      <c r="A44" s="51">
        <v>17</v>
      </c>
      <c r="B44" s="2" t="str">
        <f t="shared" si="8"/>
        <v/>
      </c>
      <c r="C44" s="2"/>
      <c r="E44" s="51" t="str">
        <f>IF(B44="","",IF(D43="",E43,B44+SUM(D$28:D43)))</f>
        <v/>
      </c>
      <c r="F44" s="49" t="str">
        <f t="shared" si="13"/>
        <v/>
      </c>
      <c r="G44" s="49" t="str">
        <f t="shared" si="0"/>
        <v/>
      </c>
      <c r="H44" s="49" t="str">
        <f t="shared" si="11"/>
        <v/>
      </c>
      <c r="I44" s="49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49">
        <f t="shared" ca="1" si="3"/>
        <v>137</v>
      </c>
      <c r="M44" s="49" t="str">
        <f t="shared" ca="1" si="10"/>
        <v/>
      </c>
      <c r="N44" s="49">
        <f t="shared" ca="1" si="4"/>
        <v>0</v>
      </c>
      <c r="O44" s="60" t="str">
        <f t="shared" ca="1" si="5"/>
        <v/>
      </c>
      <c r="P44" s="60" t="str">
        <f t="shared" si="6"/>
        <v/>
      </c>
      <c r="Q44" s="60" t="str">
        <f t="shared" si="7"/>
        <v/>
      </c>
    </row>
    <row r="45" spans="1:17" x14ac:dyDescent="0.2">
      <c r="A45" s="51">
        <v>18</v>
      </c>
      <c r="B45" s="2" t="str">
        <f t="shared" si="8"/>
        <v/>
      </c>
      <c r="C45" s="2"/>
      <c r="E45" s="51" t="str">
        <f>IF(B45="","",IF(D44="",E44,B45+SUM(D$28:D44)))</f>
        <v/>
      </c>
      <c r="F45" s="49" t="str">
        <f t="shared" si="13"/>
        <v/>
      </c>
      <c r="G45" s="49" t="str">
        <f t="shared" si="0"/>
        <v/>
      </c>
      <c r="H45" s="49" t="str">
        <f t="shared" si="11"/>
        <v/>
      </c>
      <c r="I45" s="49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49">
        <f t="shared" ca="1" si="3"/>
        <v>137</v>
      </c>
      <c r="M45" s="49" t="str">
        <f t="shared" ca="1" si="10"/>
        <v/>
      </c>
      <c r="N45" s="49">
        <f t="shared" ca="1" si="4"/>
        <v>0</v>
      </c>
      <c r="O45" s="60" t="str">
        <f t="shared" ca="1" si="5"/>
        <v/>
      </c>
      <c r="P45" s="60" t="str">
        <f t="shared" si="6"/>
        <v/>
      </c>
      <c r="Q45" s="60" t="str">
        <f t="shared" si="7"/>
        <v/>
      </c>
    </row>
    <row r="46" spans="1:17" x14ac:dyDescent="0.2">
      <c r="A46" s="51">
        <v>19</v>
      </c>
      <c r="B46" s="2" t="str">
        <f t="shared" si="8"/>
        <v/>
      </c>
      <c r="C46" s="2"/>
      <c r="E46" s="51" t="str">
        <f>IF(B46="","",IF(D45="",E45,B46+SUM(D$28:D45)))</f>
        <v/>
      </c>
      <c r="F46" s="49" t="str">
        <f t="shared" si="13"/>
        <v/>
      </c>
      <c r="G46" s="49" t="str">
        <f t="shared" si="0"/>
        <v/>
      </c>
      <c r="H46" s="49" t="str">
        <f t="shared" si="11"/>
        <v/>
      </c>
      <c r="I46" s="49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49">
        <f t="shared" ca="1" si="3"/>
        <v>137</v>
      </c>
      <c r="M46" s="49" t="str">
        <f t="shared" ca="1" si="10"/>
        <v/>
      </c>
      <c r="N46" s="49">
        <f t="shared" ca="1" si="4"/>
        <v>0</v>
      </c>
      <c r="O46" s="60" t="str">
        <f t="shared" ca="1" si="5"/>
        <v/>
      </c>
      <c r="P46" s="60" t="str">
        <f t="shared" si="6"/>
        <v/>
      </c>
      <c r="Q46" s="60" t="str">
        <f t="shared" si="7"/>
        <v/>
      </c>
    </row>
    <row r="47" spans="1:17" x14ac:dyDescent="0.2">
      <c r="A47" s="51">
        <v>20</v>
      </c>
      <c r="B47" s="2" t="str">
        <f t="shared" si="8"/>
        <v/>
      </c>
      <c r="C47" s="2"/>
      <c r="E47" s="51" t="str">
        <f>IF(B47="","",IF(D46="",E46,B47+SUM(D$28:D46)))</f>
        <v/>
      </c>
      <c r="F47" s="49" t="str">
        <f t="shared" si="13"/>
        <v/>
      </c>
      <c r="G47" s="49" t="str">
        <f t="shared" si="0"/>
        <v/>
      </c>
      <c r="H47" s="49" t="str">
        <f t="shared" si="11"/>
        <v/>
      </c>
      <c r="I47" s="49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49">
        <f t="shared" ca="1" si="3"/>
        <v>137</v>
      </c>
      <c r="M47" s="49" t="str">
        <f t="shared" ca="1" si="10"/>
        <v/>
      </c>
      <c r="N47" s="49">
        <f t="shared" ca="1" si="4"/>
        <v>0</v>
      </c>
      <c r="O47" s="60" t="str">
        <f t="shared" ca="1" si="5"/>
        <v/>
      </c>
      <c r="P47" s="60" t="str">
        <f t="shared" si="6"/>
        <v/>
      </c>
      <c r="Q47" s="60" t="str">
        <f t="shared" si="7"/>
        <v/>
      </c>
    </row>
    <row r="48" spans="1:17" x14ac:dyDescent="0.2">
      <c r="A48" s="51">
        <v>21</v>
      </c>
      <c r="B48" s="2" t="str">
        <f t="shared" si="8"/>
        <v/>
      </c>
      <c r="C48" s="2"/>
      <c r="E48" s="51" t="str">
        <f>IF(B48="","",IF(D47="",E47,B48+SUM(D$28:D47)))</f>
        <v/>
      </c>
      <c r="F48" s="49" t="str">
        <f t="shared" si="13"/>
        <v/>
      </c>
      <c r="G48" s="49" t="str">
        <f t="shared" si="0"/>
        <v/>
      </c>
      <c r="H48" s="49" t="str">
        <f t="shared" si="11"/>
        <v/>
      </c>
      <c r="I48" s="49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49">
        <f t="shared" ca="1" si="3"/>
        <v>137</v>
      </c>
      <c r="M48" s="49" t="str">
        <f t="shared" ca="1" si="10"/>
        <v/>
      </c>
      <c r="N48" s="49">
        <f t="shared" ca="1" si="4"/>
        <v>0</v>
      </c>
      <c r="O48" s="60" t="str">
        <f t="shared" ca="1" si="5"/>
        <v/>
      </c>
      <c r="P48" s="60" t="str">
        <f t="shared" si="6"/>
        <v/>
      </c>
      <c r="Q48" s="60" t="str">
        <f t="shared" si="7"/>
        <v/>
      </c>
    </row>
    <row r="49" spans="1:17" x14ac:dyDescent="0.2">
      <c r="A49" s="51">
        <v>22</v>
      </c>
      <c r="B49" s="2" t="str">
        <f t="shared" si="8"/>
        <v/>
      </c>
      <c r="C49" s="2"/>
      <c r="E49" s="51" t="str">
        <f>IF(B49="","",IF(D48="",E48,B49+SUM(D$28:D48)))</f>
        <v/>
      </c>
      <c r="F49" s="49" t="str">
        <f t="shared" si="13"/>
        <v/>
      </c>
      <c r="G49" s="49" t="str">
        <f t="shared" si="0"/>
        <v/>
      </c>
      <c r="H49" s="49" t="str">
        <f t="shared" si="11"/>
        <v/>
      </c>
      <c r="I49" s="49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49">
        <f t="shared" ca="1" si="3"/>
        <v>137</v>
      </c>
      <c r="M49" s="49" t="str">
        <f t="shared" ca="1" si="10"/>
        <v/>
      </c>
      <c r="N49" s="49">
        <f t="shared" ca="1" si="4"/>
        <v>0</v>
      </c>
      <c r="O49" s="60" t="str">
        <f t="shared" ca="1" si="5"/>
        <v/>
      </c>
      <c r="P49" s="60" t="str">
        <f t="shared" si="6"/>
        <v/>
      </c>
      <c r="Q49" s="60" t="str">
        <f t="shared" si="7"/>
        <v/>
      </c>
    </row>
    <row r="50" spans="1:17" x14ac:dyDescent="0.2">
      <c r="A50" s="51">
        <v>23</v>
      </c>
      <c r="B50" s="2" t="str">
        <f t="shared" si="8"/>
        <v/>
      </c>
      <c r="C50" s="2"/>
      <c r="E50" s="51" t="str">
        <f>IF(B50="","",IF(D49="",E49,B50+SUM(D$28:D49)))</f>
        <v/>
      </c>
      <c r="F50" s="49" t="str">
        <f t="shared" si="13"/>
        <v/>
      </c>
      <c r="G50" s="49" t="str">
        <f t="shared" si="0"/>
        <v/>
      </c>
      <c r="H50" s="49" t="str">
        <f t="shared" si="11"/>
        <v/>
      </c>
      <c r="I50" s="49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49">
        <f t="shared" ca="1" si="3"/>
        <v>137</v>
      </c>
      <c r="M50" s="49" t="str">
        <f t="shared" ca="1" si="10"/>
        <v/>
      </c>
      <c r="N50" s="49">
        <f t="shared" ca="1" si="4"/>
        <v>0</v>
      </c>
      <c r="O50" s="60" t="str">
        <f t="shared" ca="1" si="5"/>
        <v/>
      </c>
      <c r="P50" s="60" t="str">
        <f t="shared" si="6"/>
        <v/>
      </c>
      <c r="Q50" s="60" t="str">
        <f t="shared" si="7"/>
        <v/>
      </c>
    </row>
    <row r="51" spans="1:17" x14ac:dyDescent="0.2">
      <c r="A51" s="51">
        <v>24</v>
      </c>
      <c r="B51" s="2" t="str">
        <f t="shared" si="8"/>
        <v/>
      </c>
      <c r="C51" s="2"/>
      <c r="E51" s="51" t="str">
        <f>IF(B51="","",IF(D50="",E50,B51+SUM(D$28:D50)))</f>
        <v/>
      </c>
      <c r="F51" s="49" t="str">
        <f t="shared" si="13"/>
        <v/>
      </c>
      <c r="G51" s="49" t="str">
        <f t="shared" si="0"/>
        <v/>
      </c>
      <c r="H51" s="49" t="str">
        <f t="shared" si="11"/>
        <v/>
      </c>
      <c r="I51" s="49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49">
        <f t="shared" ca="1" si="3"/>
        <v>137</v>
      </c>
      <c r="M51" s="49" t="str">
        <f t="shared" ca="1" si="10"/>
        <v/>
      </c>
      <c r="N51" s="49">
        <f t="shared" ca="1" si="4"/>
        <v>0</v>
      </c>
      <c r="O51" s="60" t="str">
        <f t="shared" ca="1" si="5"/>
        <v/>
      </c>
      <c r="P51" s="60" t="str">
        <f t="shared" si="6"/>
        <v/>
      </c>
      <c r="Q51" s="60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7"/>
  <sheetViews>
    <sheetView tabSelected="1" zoomScale="115" zoomScaleNormal="115" workbookViewId="0">
      <pane ySplit="14" topLeftCell="A15" activePane="bottomLeft" state="frozen"/>
      <selection pane="bottomLeft" activeCell="J23" sqref="J23"/>
    </sheetView>
  </sheetViews>
  <sheetFormatPr baseColWidth="10" defaultColWidth="9.140625" defaultRowHeight="12.75" x14ac:dyDescent="0.2"/>
  <cols>
    <col min="1" max="1" width="43.42578125" style="30" customWidth="1"/>
    <col min="2" max="2" width="8.42578125" style="29" customWidth="1"/>
    <col min="3" max="3" width="13.7109375" style="30" customWidth="1"/>
    <col min="4" max="4" width="10.7109375" style="30" customWidth="1"/>
    <col min="5" max="5" width="6.42578125" style="29" customWidth="1"/>
    <col min="6" max="30" width="4.42578125" style="29" customWidth="1"/>
    <col min="31" max="16384" width="9.140625" style="30"/>
  </cols>
  <sheetData>
    <row r="1" spans="1:30" ht="18" x14ac:dyDescent="0.2">
      <c r="A1" s="61">
        <v>1</v>
      </c>
      <c r="B1" s="62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</row>
    <row r="2" spans="1:30" x14ac:dyDescent="0.2"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</row>
    <row r="9" spans="1:30" x14ac:dyDescent="0.2">
      <c r="A9" s="63" t="s">
        <v>12</v>
      </c>
      <c r="B9" s="29">
        <v>7</v>
      </c>
      <c r="C9" s="63"/>
      <c r="D9" s="64"/>
      <c r="E9" s="63" t="s">
        <v>9</v>
      </c>
      <c r="F9" s="63" t="s">
        <v>11</v>
      </c>
      <c r="G9" s="63"/>
      <c r="H9" s="63"/>
      <c r="I9" s="63"/>
      <c r="J9" s="63"/>
      <c r="K9" s="63"/>
      <c r="L9" s="63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</row>
    <row r="10" spans="1:30" x14ac:dyDescent="0.2">
      <c r="A10" s="63" t="s">
        <v>29</v>
      </c>
      <c r="B10" s="29">
        <v>0</v>
      </c>
      <c r="C10" s="63" t="s">
        <v>30</v>
      </c>
      <c r="D10" s="63" t="s">
        <v>17</v>
      </c>
      <c r="E10" s="65">
        <f ca="1">SUM(OFFSET(E14,1,0,TaskRows,1))</f>
        <v>2</v>
      </c>
      <c r="F10" s="65">
        <f ca="1">IF(AND(SUM(OFFSET(F14,1,0,TaskRows,1))=0),0,SUM(OFFSET(F14,1,0,TaskRows,1)))</f>
        <v>2</v>
      </c>
      <c r="G10" s="65">
        <f t="shared" ref="G10:AD10" ca="1" si="0">IF(AND(SUM(OFFSET(G14,1,0,TaskRows,1))=0),"",SUM(OFFSET(G14,1,0,TaskRows,1)))</f>
        <v>2</v>
      </c>
      <c r="H10" s="65" t="str">
        <f t="shared" ca="1" si="0"/>
        <v/>
      </c>
      <c r="I10" s="65" t="str">
        <f t="shared" ca="1" si="0"/>
        <v/>
      </c>
      <c r="J10" s="65" t="str">
        <f t="shared" ca="1" si="0"/>
        <v/>
      </c>
      <c r="K10" s="65" t="str">
        <f t="shared" ca="1" si="0"/>
        <v/>
      </c>
      <c r="L10" s="65" t="str">
        <f t="shared" ca="1" si="0"/>
        <v/>
      </c>
      <c r="M10" s="65" t="str">
        <f t="shared" ca="1" si="0"/>
        <v/>
      </c>
      <c r="N10" s="65" t="str">
        <f t="shared" ca="1" si="0"/>
        <v/>
      </c>
      <c r="O10" s="65" t="str">
        <f t="shared" ca="1" si="0"/>
        <v/>
      </c>
      <c r="P10" s="65" t="str">
        <f t="shared" ca="1" si="0"/>
        <v/>
      </c>
      <c r="Q10" s="65" t="str">
        <f t="shared" ca="1" si="0"/>
        <v/>
      </c>
      <c r="R10" s="65" t="str">
        <f t="shared" ca="1" si="0"/>
        <v/>
      </c>
      <c r="S10" s="65" t="str">
        <f t="shared" ca="1" si="0"/>
        <v/>
      </c>
      <c r="T10" s="65" t="str">
        <f t="shared" ca="1" si="0"/>
        <v/>
      </c>
      <c r="U10" s="65" t="str">
        <f t="shared" ca="1" si="0"/>
        <v/>
      </c>
      <c r="V10" s="65" t="str">
        <f t="shared" ca="1" si="0"/>
        <v/>
      </c>
      <c r="W10" s="65" t="str">
        <f t="shared" ca="1" si="0"/>
        <v/>
      </c>
      <c r="X10" s="65" t="str">
        <f t="shared" ca="1" si="0"/>
        <v/>
      </c>
      <c r="Y10" s="65" t="str">
        <f t="shared" ca="1" si="0"/>
        <v/>
      </c>
      <c r="Z10" s="65" t="str">
        <f t="shared" ca="1" si="0"/>
        <v/>
      </c>
      <c r="AA10" s="65" t="str">
        <f t="shared" ca="1" si="0"/>
        <v/>
      </c>
      <c r="AB10" s="65" t="str">
        <f t="shared" ca="1" si="0"/>
        <v/>
      </c>
      <c r="AC10" s="65" t="str">
        <f t="shared" ca="1" si="0"/>
        <v/>
      </c>
      <c r="AD10" s="65" t="str">
        <f t="shared" ca="1" si="0"/>
        <v/>
      </c>
    </row>
    <row r="11" spans="1:30" customFormat="1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2</v>
      </c>
      <c r="E11" s="2"/>
      <c r="F11" s="2">
        <f ca="1">IF(F14="","",$E10-$E10/($B9-1)*(F14-1))</f>
        <v>2</v>
      </c>
      <c r="G11" s="2">
        <f t="shared" ref="G11:AD11" ca="1" si="1">IF(G14="","",TotalEffort-TotalEffort/(ImplementationDays)*(G14-1))</f>
        <v>1.7142857142857144</v>
      </c>
      <c r="H11" s="2">
        <f t="shared" ca="1" si="1"/>
        <v>1.4285714285714286</v>
      </c>
      <c r="I11" s="2">
        <f t="shared" ca="1" si="1"/>
        <v>1.1428571428571428</v>
      </c>
      <c r="J11" s="2">
        <f t="shared" ca="1" si="1"/>
        <v>0.85714285714285721</v>
      </c>
      <c r="K11" s="2">
        <f t="shared" ca="1" si="1"/>
        <v>0.57142857142857162</v>
      </c>
      <c r="L11" s="2">
        <f t="shared" ca="1" si="1"/>
        <v>0.28571428571428581</v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0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2" t="e">
        <f t="shared" ca="1" si="2"/>
        <v>#REF!</v>
      </c>
      <c r="H12" s="2" t="e">
        <f t="shared" ca="1" si="2"/>
        <v>#REF!</v>
      </c>
      <c r="I12" s="2" t="e">
        <f t="shared" ca="1" si="2"/>
        <v>#REF!</v>
      </c>
      <c r="J12" s="2" t="e">
        <f t="shared" ca="1" si="2"/>
        <v>#REF!</v>
      </c>
      <c r="K12" s="2" t="e">
        <f t="shared" ca="1" si="2"/>
        <v>#REF!</v>
      </c>
      <c r="L12" s="2" t="e">
        <f t="shared" ca="1" si="2"/>
        <v>#REF!</v>
      </c>
      <c r="M12" s="2" t="e">
        <f t="shared" ca="1" si="2"/>
        <v>#REF!</v>
      </c>
      <c r="N12" s="2" t="e">
        <f t="shared" ca="1" si="2"/>
        <v>#REF!</v>
      </c>
      <c r="O12" s="2" t="e">
        <f t="shared" ca="1" si="2"/>
        <v>#REF!</v>
      </c>
      <c r="P12" s="2" t="e">
        <f t="shared" ca="1" si="2"/>
        <v>#REF!</v>
      </c>
      <c r="Q12" s="2" t="e">
        <f t="shared" ca="1" si="2"/>
        <v>#REF!</v>
      </c>
      <c r="R12" s="2" t="e">
        <f t="shared" ca="1" si="2"/>
        <v>#REF!</v>
      </c>
      <c r="S12" s="2" t="e">
        <f t="shared" ca="1" si="2"/>
        <v>#REF!</v>
      </c>
      <c r="T12" s="2" t="e">
        <f t="shared" ca="1" si="2"/>
        <v>#REF!</v>
      </c>
      <c r="U12" s="2" t="e">
        <f t="shared" ca="1" si="2"/>
        <v>#REF!</v>
      </c>
      <c r="V12" s="2" t="e">
        <f t="shared" ca="1" si="2"/>
        <v>#REF!</v>
      </c>
      <c r="W12" s="2" t="e">
        <f t="shared" ca="1" si="2"/>
        <v>#REF!</v>
      </c>
      <c r="X12" s="2" t="e">
        <f t="shared" ca="1" si="2"/>
        <v>#REF!</v>
      </c>
      <c r="Y12" s="2" t="e">
        <f t="shared" ca="1" si="2"/>
        <v>#REF!</v>
      </c>
      <c r="Z12" s="2" t="e">
        <f t="shared" ca="1" si="2"/>
        <v>#REF!</v>
      </c>
      <c r="AA12" s="2" t="e">
        <f t="shared" ca="1" si="2"/>
        <v>#REF!</v>
      </c>
      <c r="AB12" s="2" t="e">
        <f t="shared" ca="1" si="2"/>
        <v>#REF!</v>
      </c>
      <c r="AC12" s="2" t="e">
        <f t="shared" ca="1" si="2"/>
        <v>#REF!</v>
      </c>
      <c r="AD12" s="2" t="e">
        <f t="shared" ca="1" si="2"/>
        <v>#REF!</v>
      </c>
    </row>
    <row r="13" spans="1:30" customFormat="1" hidden="1" x14ac:dyDescent="0.2">
      <c r="A13" s="50" t="s">
        <v>27</v>
      </c>
      <c r="C13" t="s">
        <v>25</v>
      </c>
      <c r="D13" s="2">
        <f ca="1">IF(DoneDays&gt;B10,B10,DoneDays)</f>
        <v>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3" t="s">
        <v>7</v>
      </c>
      <c r="B14" s="66" t="s">
        <v>21</v>
      </c>
      <c r="C14" s="63" t="s">
        <v>8</v>
      </c>
      <c r="D14" s="63" t="s">
        <v>3</v>
      </c>
      <c r="E14" s="66" t="s">
        <v>10</v>
      </c>
      <c r="F14" s="66">
        <v>1</v>
      </c>
      <c r="G14" s="66">
        <f t="shared" ref="G14:AD14" si="3">IF($B$9&gt;F14,F14+1,"")</f>
        <v>2</v>
      </c>
      <c r="H14" s="66">
        <f t="shared" si="3"/>
        <v>3</v>
      </c>
      <c r="I14" s="66">
        <f t="shared" si="3"/>
        <v>4</v>
      </c>
      <c r="J14" s="66">
        <f t="shared" si="3"/>
        <v>5</v>
      </c>
      <c r="K14" s="66">
        <f t="shared" si="3"/>
        <v>6</v>
      </c>
      <c r="L14" s="66">
        <f t="shared" si="3"/>
        <v>7</v>
      </c>
      <c r="M14" s="66" t="str">
        <f t="shared" si="3"/>
        <v/>
      </c>
      <c r="N14" s="66" t="str">
        <f t="shared" si="3"/>
        <v/>
      </c>
      <c r="O14" s="66" t="str">
        <f t="shared" si="3"/>
        <v/>
      </c>
      <c r="P14" s="66" t="str">
        <f t="shared" si="3"/>
        <v/>
      </c>
      <c r="Q14" s="66" t="str">
        <f t="shared" si="3"/>
        <v/>
      </c>
      <c r="R14" s="66" t="str">
        <f t="shared" si="3"/>
        <v/>
      </c>
      <c r="S14" s="66" t="str">
        <f t="shared" si="3"/>
        <v/>
      </c>
      <c r="T14" s="66" t="str">
        <f t="shared" si="3"/>
        <v/>
      </c>
      <c r="U14" s="66" t="str">
        <f t="shared" si="3"/>
        <v/>
      </c>
      <c r="V14" s="66" t="str">
        <f t="shared" si="3"/>
        <v/>
      </c>
      <c r="W14" s="66" t="str">
        <f t="shared" si="3"/>
        <v/>
      </c>
      <c r="X14" s="66" t="str">
        <f t="shared" si="3"/>
        <v/>
      </c>
      <c r="Y14" s="66" t="str">
        <f t="shared" si="3"/>
        <v/>
      </c>
      <c r="Z14" s="66" t="str">
        <f t="shared" si="3"/>
        <v/>
      </c>
      <c r="AA14" s="66" t="str">
        <f t="shared" si="3"/>
        <v/>
      </c>
      <c r="AB14" s="66" t="str">
        <f t="shared" si="3"/>
        <v/>
      </c>
      <c r="AC14" s="66" t="str">
        <f t="shared" si="3"/>
        <v/>
      </c>
      <c r="AD14" s="66" t="str">
        <f t="shared" si="3"/>
        <v/>
      </c>
    </row>
    <row r="15" spans="1:30" x14ac:dyDescent="0.2">
      <c r="A15" s="145" t="s">
        <v>149</v>
      </c>
      <c r="B15" s="2">
        <v>4.0999999999999996</v>
      </c>
      <c r="C15">
        <v>2</v>
      </c>
      <c r="D15" t="s">
        <v>19</v>
      </c>
      <c r="E15" s="2">
        <v>2</v>
      </c>
      <c r="F15" s="2">
        <v>2</v>
      </c>
      <c r="G15" s="2">
        <v>2</v>
      </c>
      <c r="H15" s="2"/>
      <c r="I15" s="2"/>
    </row>
    <row r="16" spans="1:30" x14ac:dyDescent="0.2">
      <c r="A16" s="27"/>
      <c r="C16"/>
      <c r="D16" s="30" t="str">
        <f>IF(A16&lt;&gt;"","Planned","")</f>
        <v/>
      </c>
      <c r="F16" s="29" t="str">
        <f>IF(OR(F$14="",$E16=""),"",E16)</f>
        <v/>
      </c>
      <c r="AC16" s="29" t="str">
        <f>IF(OR(AC$14="",$E16=""),"",AB16)</f>
        <v/>
      </c>
      <c r="AD16" s="29" t="str">
        <f>IF(OR(AD$14="",$E16=""),"",AC16)</f>
        <v/>
      </c>
    </row>
    <row r="17" spans="3:30" x14ac:dyDescent="0.2">
      <c r="C17"/>
      <c r="D17" s="30" t="str">
        <f>IF(A17&lt;&gt;"","Planned","")</f>
        <v/>
      </c>
      <c r="F17" s="29" t="str">
        <f>IF(OR(F$14="",$E17=""),"",E17)</f>
        <v/>
      </c>
      <c r="AC17" s="29" t="str">
        <f>IF(OR(AC$14="",$E17=""),"",AB17)</f>
        <v/>
      </c>
      <c r="AD17" s="29" t="str">
        <f>IF(OR(AD$14="",$E17=""),"",AC17)</f>
        <v/>
      </c>
    </row>
    <row r="18" spans="3:30" x14ac:dyDescent="0.2">
      <c r="C18"/>
      <c r="D18" s="30" t="str">
        <f>IF(A18&lt;&gt;"","Planned","")</f>
        <v/>
      </c>
      <c r="F18" s="29" t="str">
        <f>IF(OR(F$14="",$E18=""),"",E18)</f>
        <v/>
      </c>
      <c r="AC18" s="29" t="str">
        <f>IF(OR(AC$14="",$E18=""),"",AB18)</f>
        <v/>
      </c>
      <c r="AD18" s="29" t="str">
        <f>IF(OR(AD$14="",$E18=""),"",AC18)</f>
        <v/>
      </c>
    </row>
    <row r="19" spans="3:30" x14ac:dyDescent="0.2">
      <c r="C19"/>
      <c r="D19" s="30" t="str">
        <f>IF(A19&lt;&gt;"","Planned","")</f>
        <v/>
      </c>
      <c r="F19" s="29" t="str">
        <f>IF(OR(F$14="",$E19=""),"",E19)</f>
        <v/>
      </c>
      <c r="AC19" s="29" t="str">
        <f>IF(OR(AC$14="",$E19=""),"",AB19)</f>
        <v/>
      </c>
      <c r="AD19" s="29" t="str">
        <f>IF(OR(AD$14="",$E19=""),"",AC19)</f>
        <v/>
      </c>
    </row>
    <row r="20" spans="3:30" x14ac:dyDescent="0.2">
      <c r="C20"/>
      <c r="D20" s="30" t="str">
        <f>IF(A20&lt;&gt;"","Planned","")</f>
        <v/>
      </c>
      <c r="F20" s="29" t="str">
        <f>IF(OR(F$14="",$E20=""),"",E20)</f>
        <v/>
      </c>
      <c r="AC20" s="29" t="str">
        <f>IF(OR(AC$14="",$E20=""),"",AB20)</f>
        <v/>
      </c>
      <c r="AD20" s="29" t="str">
        <f>IF(OR(AD$14="",$E20=""),"",AC20)</f>
        <v/>
      </c>
    </row>
    <row r="21" spans="3:30" x14ac:dyDescent="0.2">
      <c r="C21"/>
      <c r="D21" s="30" t="str">
        <f>IF(A21&lt;&gt;"","Planned","")</f>
        <v/>
      </c>
      <c r="F21" s="29" t="str">
        <f>IF(OR(F$14="",$E21=""),"",E21)</f>
        <v/>
      </c>
      <c r="AC21" s="29" t="str">
        <f>IF(OR(AC$14="",$E21=""),"",AB21)</f>
        <v/>
      </c>
      <c r="AD21" s="29" t="str">
        <f>IF(OR(AD$14="",$E21=""),"",AC21)</f>
        <v/>
      </c>
    </row>
    <row r="22" spans="3:30" x14ac:dyDescent="0.2">
      <c r="C22"/>
      <c r="D22" s="30" t="str">
        <f>IF(A22&lt;&gt;"","Planned","")</f>
        <v/>
      </c>
      <c r="F22" s="29" t="str">
        <f>IF(OR(F$14="",$E22=""),"",E22)</f>
        <v/>
      </c>
      <c r="AC22" s="29" t="str">
        <f>IF(OR(AC$14="",$E22=""),"",AB22)</f>
        <v/>
      </c>
      <c r="AD22" s="29" t="str">
        <f>IF(OR(AD$14="",$E22=""),"",AC22)</f>
        <v/>
      </c>
    </row>
    <row r="23" spans="3:30" ht="15" customHeight="1" x14ac:dyDescent="0.2">
      <c r="C23"/>
      <c r="D23" s="30" t="str">
        <f>IF(A23&lt;&gt;"","Planned","")</f>
        <v/>
      </c>
      <c r="F23" s="29" t="str">
        <f>IF(OR(F$14="",$E23=""),"",E23)</f>
        <v/>
      </c>
      <c r="AC23" s="29" t="str">
        <f>IF(OR(AC$14="",$E23=""),"",AB23)</f>
        <v/>
      </c>
      <c r="AD23" s="29" t="str">
        <f>IF(OR(AD$14="",$E23=""),"",AC23)</f>
        <v/>
      </c>
    </row>
    <row r="24" spans="3:30" x14ac:dyDescent="0.2">
      <c r="C24"/>
      <c r="D24" s="30" t="str">
        <f>IF(A24&lt;&gt;"","Planned","")</f>
        <v/>
      </c>
      <c r="F24" s="29" t="str">
        <f>IF(OR(F$14="",$E24=""),"",E24)</f>
        <v/>
      </c>
      <c r="AC24" s="29" t="str">
        <f>IF(OR(AC$14="",$E24=""),"",AB24)</f>
        <v/>
      </c>
      <c r="AD24" s="29" t="str">
        <f>IF(OR(AD$14="",$E24=""),"",AC24)</f>
        <v/>
      </c>
    </row>
    <row r="25" spans="3:30" x14ac:dyDescent="0.2">
      <c r="C25"/>
      <c r="D25" s="30" t="str">
        <f>IF(A25&lt;&gt;"","Planned","")</f>
        <v/>
      </c>
      <c r="F25" s="29" t="str">
        <f>IF(OR(F$14="",$E25=""),"",E25)</f>
        <v/>
      </c>
      <c r="AC25" s="29" t="str">
        <f>IF(OR(AC$14="",$E25=""),"",AB25)</f>
        <v/>
      </c>
      <c r="AD25" s="29" t="str">
        <f>IF(OR(AD$14="",$E25=""),"",AC25)</f>
        <v/>
      </c>
    </row>
    <row r="26" spans="3:30" x14ac:dyDescent="0.2">
      <c r="C26"/>
      <c r="D26" s="30" t="str">
        <f>IF(A26&lt;&gt;"","Planned","")</f>
        <v/>
      </c>
      <c r="F26" s="29" t="str">
        <f>IF(OR(F$14="",$E26=""),"",E26)</f>
        <v/>
      </c>
      <c r="AC26" s="29" t="str">
        <f>IF(OR(AC$14="",$E26=""),"",AB26)</f>
        <v/>
      </c>
      <c r="AD26" s="29" t="str">
        <f>IF(OR(AD$14="",$E26=""),"",AC26)</f>
        <v/>
      </c>
    </row>
    <row r="27" spans="3:30" x14ac:dyDescent="0.2">
      <c r="C27"/>
      <c r="D27" s="30" t="str">
        <f>IF(A27&lt;&gt;"","Planned","")</f>
        <v/>
      </c>
      <c r="F27" s="29" t="str">
        <f>IF(OR(F$14="",$E27=""),"",E27)</f>
        <v/>
      </c>
      <c r="AC27" s="29" t="str">
        <f>IF(OR(AC$14="",$E27=""),"",AB27)</f>
        <v/>
      </c>
      <c r="AD27" s="29" t="str">
        <f>IF(OR(AD$14="",$E27=""),"",AC27)</f>
        <v/>
      </c>
    </row>
    <row r="28" spans="3:30" x14ac:dyDescent="0.2">
      <c r="C28"/>
      <c r="D28" s="30" t="str">
        <f>IF(A28&lt;&gt;"","Planned","")</f>
        <v/>
      </c>
      <c r="F28" s="29" t="str">
        <f>IF(OR(F$14="",$E28=""),"",E28)</f>
        <v/>
      </c>
      <c r="AC28" s="29" t="str">
        <f>IF(OR(AC$14="",$E28=""),"",AB28)</f>
        <v/>
      </c>
      <c r="AD28" s="29" t="str">
        <f>IF(OR(AD$14="",$E28=""),"",AC28)</f>
        <v/>
      </c>
    </row>
    <row r="29" spans="3:30" x14ac:dyDescent="0.2">
      <c r="C29"/>
      <c r="D29" s="30" t="str">
        <f>IF(A29&lt;&gt;"","Planned","")</f>
        <v/>
      </c>
      <c r="F29" s="29" t="str">
        <f>IF(OR(F$14="",$E29=""),"",E29)</f>
        <v/>
      </c>
      <c r="AC29" s="29" t="str">
        <f>IF(OR(AC$14="",$E29=""),"",AB29)</f>
        <v/>
      </c>
      <c r="AD29" s="29" t="str">
        <f>IF(OR(AD$14="",$E29=""),"",AC29)</f>
        <v/>
      </c>
    </row>
    <row r="30" spans="3:30" x14ac:dyDescent="0.2">
      <c r="C30"/>
      <c r="D30" s="30" t="str">
        <f>IF(A30&lt;&gt;"","Planned","")</f>
        <v/>
      </c>
      <c r="F30" s="29" t="str">
        <f>IF(OR(F$14="",$E30=""),"",E30)</f>
        <v/>
      </c>
      <c r="AC30" s="29" t="str">
        <f>IF(OR(AC$14="",$E30=""),"",AB30)</f>
        <v/>
      </c>
      <c r="AD30" s="29" t="str">
        <f>IF(OR(AD$14="",$E30=""),"",AC30)</f>
        <v/>
      </c>
    </row>
    <row r="31" spans="3:30" x14ac:dyDescent="0.2">
      <c r="C31"/>
      <c r="D31" s="30" t="str">
        <f>IF(A31&lt;&gt;"","Planned","")</f>
        <v/>
      </c>
      <c r="F31" s="29" t="str">
        <f>IF(OR(F$14="",$E31=""),"",E31)</f>
        <v/>
      </c>
      <c r="AC31" s="29" t="str">
        <f>IF(OR(AC$14="",$E31=""),"",AB31)</f>
        <v/>
      </c>
      <c r="AD31" s="29" t="str">
        <f>IF(OR(AD$14="",$E31=""),"",AC31)</f>
        <v/>
      </c>
    </row>
    <row r="32" spans="3:30" x14ac:dyDescent="0.2">
      <c r="C32"/>
      <c r="D32" s="30" t="str">
        <f>IF(A32&lt;&gt;"","Planned","")</f>
        <v/>
      </c>
      <c r="F32" s="29" t="str">
        <f>IF(OR(F$14="",$E32=""),"",E32)</f>
        <v/>
      </c>
      <c r="AC32" s="29" t="str">
        <f>IF(OR(AC$14="",$E32=""),"",AB32)</f>
        <v/>
      </c>
      <c r="AD32" s="29" t="str">
        <f>IF(OR(AD$14="",$E32=""),"",AC32)</f>
        <v/>
      </c>
    </row>
    <row r="33" spans="1:30" x14ac:dyDescent="0.2">
      <c r="C33"/>
      <c r="D33" s="30" t="str">
        <f>IF(A33&lt;&gt;"","Planned","")</f>
        <v/>
      </c>
      <c r="F33" s="29" t="str">
        <f>IF(OR(F$14="",$E33=""),"",E33)</f>
        <v/>
      </c>
      <c r="AC33" s="29" t="str">
        <f>IF(OR(AC$14="",$E33=""),"",AB33)</f>
        <v/>
      </c>
      <c r="AD33" s="29" t="str">
        <f>IF(OR(AD$14="",$E33=""),"",AC33)</f>
        <v/>
      </c>
    </row>
    <row r="34" spans="1:30" x14ac:dyDescent="0.2">
      <c r="C34"/>
      <c r="D34" s="30" t="str">
        <f>IF(A34&lt;&gt;"","Planned","")</f>
        <v/>
      </c>
      <c r="F34" s="29" t="str">
        <f>IF(OR(F$14="",$E34=""),"",E34)</f>
        <v/>
      </c>
      <c r="AC34" s="29" t="str">
        <f>IF(OR(AC$14="",$E34=""),"",AB34)</f>
        <v/>
      </c>
      <c r="AD34" s="29" t="str">
        <f>IF(OR(AD$14="",$E34=""),"",AC34)</f>
        <v/>
      </c>
    </row>
    <row r="35" spans="1:30" x14ac:dyDescent="0.2">
      <c r="C35"/>
      <c r="D35" s="30" t="str">
        <f>IF(A35&lt;&gt;"","Planned","")</f>
        <v/>
      </c>
      <c r="F35" s="29" t="str">
        <f>IF(OR(F$14="",$E35=""),"",E35)</f>
        <v/>
      </c>
      <c r="AC35" s="29" t="str">
        <f>IF(OR(AC$14="",$E35=""),"",AB35)</f>
        <v/>
      </c>
      <c r="AD35" s="29" t="str">
        <f>IF(OR(AD$14="",$E35=""),"",AC35)</f>
        <v/>
      </c>
    </row>
    <row r="36" spans="1:30" x14ac:dyDescent="0.2">
      <c r="C36"/>
      <c r="D36" s="30" t="str">
        <f>IF(A36&lt;&gt;"","Planned","")</f>
        <v/>
      </c>
      <c r="F36" s="29" t="str">
        <f>IF(OR(F$14="",$E36=""),"",E36)</f>
        <v/>
      </c>
      <c r="AC36" s="29" t="str">
        <f>IF(OR(AC$14="",$E36=""),"",AB36)</f>
        <v/>
      </c>
      <c r="AD36" s="29" t="str">
        <f>IF(OR(AD$14="",$E36=""),"",AC36)</f>
        <v/>
      </c>
    </row>
    <row r="37" spans="1:30" x14ac:dyDescent="0.2">
      <c r="C37"/>
      <c r="D37" s="30" t="str">
        <f>IF(A37&lt;&gt;"","Planned","")</f>
        <v/>
      </c>
      <c r="F37" s="29" t="str">
        <f>IF(OR(F$14="",$E37=""),"",E37)</f>
        <v/>
      </c>
      <c r="G37" s="29" t="str">
        <f>IF(OR(G$14="",$E37=""),"",F37)</f>
        <v/>
      </c>
      <c r="H37" s="29" t="str">
        <f>IF(OR(H$14="",$E37=""),"",G37)</f>
        <v/>
      </c>
      <c r="I37" s="29" t="str">
        <f>IF(OR(I$14="",$E37=""),"",H37)</f>
        <v/>
      </c>
      <c r="J37" s="29" t="str">
        <f>IF(OR(J$14="",$E37=""),"",I37)</f>
        <v/>
      </c>
      <c r="K37" s="29" t="str">
        <f>IF(OR(K$14="",$E37=""),"",J37)</f>
        <v/>
      </c>
      <c r="L37" s="29" t="str">
        <f>IF(OR(L$14="",$E37=""),"",K37)</f>
        <v/>
      </c>
      <c r="M37" s="29" t="str">
        <f>IF(OR(M$14="",$E37=""),"",L37)</f>
        <v/>
      </c>
      <c r="N37" s="29" t="str">
        <f>IF(OR(N$14="",$E37=""),"",M37)</f>
        <v/>
      </c>
      <c r="O37" s="29" t="str">
        <f>IF(OR(O$14="",$E37=""),"",N37)</f>
        <v/>
      </c>
      <c r="P37" s="29" t="str">
        <f>IF(OR(P$14="",$E37=""),"",O37)</f>
        <v/>
      </c>
      <c r="Q37" s="29" t="str">
        <f>IF(OR(Q$14="",$E37=""),"",P37)</f>
        <v/>
      </c>
      <c r="R37" s="29" t="str">
        <f>IF(OR(R$14="",$E37=""),"",Q37)</f>
        <v/>
      </c>
      <c r="S37" s="29" t="str">
        <f>IF(OR(S$14="",$E37=""),"",R37)</f>
        <v/>
      </c>
      <c r="T37" s="29" t="str">
        <f>IF(OR(T$14="",$E37=""),"",S37)</f>
        <v/>
      </c>
      <c r="U37" s="29" t="str">
        <f>IF(OR(U$14="",$E37=""),"",T37)</f>
        <v/>
      </c>
      <c r="V37" s="29" t="str">
        <f>IF(OR(V$14="",$E37=""),"",U37)</f>
        <v/>
      </c>
      <c r="W37" s="29" t="str">
        <f>IF(OR(W$14="",$E37=""),"",V37)</f>
        <v/>
      </c>
      <c r="X37" s="29" t="str">
        <f>IF(OR(X$14="",$E37=""),"",W37)</f>
        <v/>
      </c>
      <c r="Y37" s="29" t="str">
        <f>IF(OR(Y$14="",$E37=""),"",X37)</f>
        <v/>
      </c>
      <c r="Z37" s="29" t="str">
        <f>IF(OR(Z$14="",$E37=""),"",Y37)</f>
        <v/>
      </c>
      <c r="AA37" s="29" t="str">
        <f>IF(OR(AA$14="",$E37=""),"",Z37)</f>
        <v/>
      </c>
      <c r="AB37" s="29" t="str">
        <f>IF(OR(AB$14="",$E37=""),"",AA37)</f>
        <v/>
      </c>
      <c r="AC37" s="29" t="str">
        <f>IF(OR(AC$14="",$E37=""),"",AB37)</f>
        <v/>
      </c>
      <c r="AD37" s="29" t="str">
        <f>IF(OR(AD$14="",$E37=""),"",AC37)</f>
        <v/>
      </c>
    </row>
    <row r="38" spans="1:30" x14ac:dyDescent="0.2">
      <c r="C38"/>
      <c r="D38" s="30" t="str">
        <f>IF(A38&lt;&gt;"","Planned","")</f>
        <v/>
      </c>
      <c r="F38" s="29" t="str">
        <f>IF(OR(F$14="",$E38=""),"",E38)</f>
        <v/>
      </c>
      <c r="G38" s="29" t="str">
        <f>IF(OR(G$14="",$E38=""),"",F38)</f>
        <v/>
      </c>
      <c r="H38" s="29" t="str">
        <f>IF(OR(H$14="",$E38=""),"",G38)</f>
        <v/>
      </c>
      <c r="I38" s="29" t="str">
        <f>IF(OR(I$14="",$E38=""),"",H38)</f>
        <v/>
      </c>
      <c r="J38" s="29" t="str">
        <f>IF(OR(J$14="",$E38=""),"",I38)</f>
        <v/>
      </c>
      <c r="K38" s="29" t="str">
        <f>IF(OR(K$14="",$E38=""),"",J38)</f>
        <v/>
      </c>
      <c r="L38" s="29" t="str">
        <f>IF(OR(L$14="",$E38=""),"",K38)</f>
        <v/>
      </c>
      <c r="M38" s="29" t="str">
        <f>IF(OR(M$14="",$E38=""),"",L38)</f>
        <v/>
      </c>
      <c r="N38" s="29" t="str">
        <f>IF(OR(N$14="",$E38=""),"",M38)</f>
        <v/>
      </c>
      <c r="O38" s="29" t="str">
        <f>IF(OR(O$14="",$E38=""),"",N38)</f>
        <v/>
      </c>
      <c r="P38" s="29" t="str">
        <f>IF(OR(P$14="",$E38=""),"",O38)</f>
        <v/>
      </c>
      <c r="Q38" s="29" t="str">
        <f>IF(OR(Q$14="",$E38=""),"",P38)</f>
        <v/>
      </c>
      <c r="R38" s="29" t="str">
        <f>IF(OR(R$14="",$E38=""),"",Q38)</f>
        <v/>
      </c>
      <c r="S38" s="29" t="str">
        <f>IF(OR(S$14="",$E38=""),"",R38)</f>
        <v/>
      </c>
      <c r="T38" s="29" t="str">
        <f>IF(OR(T$14="",$E38=""),"",S38)</f>
        <v/>
      </c>
      <c r="U38" s="29" t="str">
        <f>IF(OR(U$14="",$E38=""),"",T38)</f>
        <v/>
      </c>
      <c r="V38" s="29" t="str">
        <f>IF(OR(V$14="",$E38=""),"",U38)</f>
        <v/>
      </c>
      <c r="W38" s="29" t="str">
        <f>IF(OR(W$14="",$E38=""),"",V38)</f>
        <v/>
      </c>
      <c r="X38" s="29" t="str">
        <f>IF(OR(X$14="",$E38=""),"",W38)</f>
        <v/>
      </c>
      <c r="Y38" s="29" t="str">
        <f>IF(OR(Y$14="",$E38=""),"",X38)</f>
        <v/>
      </c>
      <c r="Z38" s="29" t="str">
        <f>IF(OR(Z$14="",$E38=""),"",Y38)</f>
        <v/>
      </c>
      <c r="AA38" s="29" t="str">
        <f>IF(OR(AA$14="",$E38=""),"",Z38)</f>
        <v/>
      </c>
      <c r="AB38" s="29" t="str">
        <f>IF(OR(AB$14="",$E38=""),"",AA38)</f>
        <v/>
      </c>
      <c r="AC38" s="29" t="str">
        <f>IF(OR(AC$14="",$E38=""),"",AB38)</f>
        <v/>
      </c>
      <c r="AD38" s="29" t="str">
        <f>IF(OR(AD$14="",$E38=""),"",AC38)</f>
        <v/>
      </c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 s="27"/>
      <c r="C42"/>
      <c r="AC42" s="29" t="str">
        <f>IF(OR(AC$14="",$E42=""),"",AB42)</f>
        <v/>
      </c>
      <c r="AD42" s="29" t="str">
        <f>IF(OR(AD$14="",$E42=""),"",AC42)</f>
        <v/>
      </c>
    </row>
    <row r="43" spans="1:30" x14ac:dyDescent="0.2">
      <c r="A43" s="27"/>
      <c r="C43"/>
      <c r="AC43" s="29" t="str">
        <f>IF(OR(AC$14="",$E43=""),"",AB43)</f>
        <v/>
      </c>
      <c r="AD43" s="29" t="str">
        <f>IF(OR(AD$14="",$E43=""),"",AC43)</f>
        <v/>
      </c>
    </row>
    <row r="44" spans="1:30" x14ac:dyDescent="0.2">
      <c r="A44" s="27"/>
      <c r="C44"/>
      <c r="AC44" s="29" t="str">
        <f>IF(OR(AC$14="",$E44=""),"",AB44)</f>
        <v/>
      </c>
      <c r="AD44" s="29" t="str">
        <f>IF(OR(AD$14="",$E44=""),"",AC44)</f>
        <v/>
      </c>
    </row>
    <row r="45" spans="1:30" x14ac:dyDescent="0.2">
      <c r="A45" s="27"/>
      <c r="C45"/>
      <c r="AC45" s="29" t="str">
        <f>IF(OR(AC$14="",$E45=""),"",AB45)</f>
        <v/>
      </c>
      <c r="AD45" s="29" t="str">
        <f>IF(OR(AD$14="",$E45=""),"",AC45)</f>
        <v/>
      </c>
    </row>
    <row r="46" spans="1:30" x14ac:dyDescent="0.2">
      <c r="A46" s="27"/>
      <c r="C46"/>
      <c r="AC46" s="29" t="str">
        <f>IF(OR(AC$14="",$E46=""),"",AB46)</f>
        <v/>
      </c>
      <c r="AD46" s="29" t="str">
        <f>IF(OR(AD$14="",$E46=""),"",AC46)</f>
        <v/>
      </c>
    </row>
    <row r="47" spans="1:30" x14ac:dyDescent="0.2">
      <c r="A47" s="27"/>
      <c r="C47"/>
      <c r="AC47" s="29" t="str">
        <f>IF(OR(AC$14="",$E47=""),"",AB47)</f>
        <v/>
      </c>
      <c r="AD47" s="29" t="str">
        <f>IF(OR(AD$14="",$E47=""),"",AC47)</f>
        <v/>
      </c>
    </row>
    <row r="48" spans="1:30" x14ac:dyDescent="0.2">
      <c r="A48" s="27"/>
      <c r="C48"/>
    </row>
    <row r="49" spans="1:30" x14ac:dyDescent="0.2">
      <c r="A49" s="27"/>
      <c r="C49"/>
      <c r="AC49" s="29" t="str">
        <f>IF(OR(AC$14="",$E49=""),"",AB49)</f>
        <v/>
      </c>
      <c r="AD49" s="29" t="str">
        <f>IF(OR(AD$14="",$E49=""),"",AC49)</f>
        <v/>
      </c>
    </row>
    <row r="50" spans="1:30" x14ac:dyDescent="0.2">
      <c r="A50" s="27"/>
      <c r="C50"/>
      <c r="AC50" s="29" t="str">
        <f>IF(OR(AC$14="",$E50=""),"",AB50)</f>
        <v/>
      </c>
      <c r="AD50" s="29" t="str">
        <f>IF(OR(AD$14="",$E50=""),"",AC50)</f>
        <v/>
      </c>
    </row>
    <row r="51" spans="1:30" x14ac:dyDescent="0.2">
      <c r="A51" s="27"/>
      <c r="C51"/>
      <c r="AC51" s="29" t="str">
        <f>IF(OR(AC$14="",$E51=""),"",AB51)</f>
        <v/>
      </c>
      <c r="AD51" s="29" t="str">
        <f>IF(OR(AD$14="",$E51=""),"",AC51)</f>
        <v/>
      </c>
    </row>
    <row r="52" spans="1:30" x14ac:dyDescent="0.2">
      <c r="A52" s="27"/>
      <c r="C52"/>
      <c r="AC52" s="29" t="str">
        <f>IF(OR(AC$14="",$E52=""),"",AB52)</f>
        <v/>
      </c>
      <c r="AD52" s="29" t="str">
        <f>IF(OR(AD$14="",$E52=""),"",AC52)</f>
        <v/>
      </c>
    </row>
    <row r="53" spans="1:30" x14ac:dyDescent="0.2">
      <c r="A53" s="27"/>
      <c r="C53"/>
      <c r="AC53" s="29" t="str">
        <f>IF(OR(AC$14="",$E53=""),"",AB53)</f>
        <v/>
      </c>
      <c r="AD53" s="29" t="str">
        <f>IF(OR(AD$14="",$E53=""),"",AC53)</f>
        <v/>
      </c>
    </row>
    <row r="54" spans="1:30" x14ac:dyDescent="0.2">
      <c r="A54" s="27"/>
      <c r="C54"/>
      <c r="AC54" s="29" t="str">
        <f>IF(OR(AC$14="",$E54=""),"",AB54)</f>
        <v/>
      </c>
      <c r="AD54" s="29" t="str">
        <f>IF(OR(AD$14="",$E54=""),"",AC54)</f>
        <v/>
      </c>
    </row>
    <row r="55" spans="1:30" x14ac:dyDescent="0.2">
      <c r="A55" s="27"/>
      <c r="C55"/>
      <c r="AC55" s="29" t="str">
        <f>IF(OR(AC$14="",$E55=""),"",AB55)</f>
        <v/>
      </c>
      <c r="AD55" s="29" t="str">
        <f>IF(OR(AD$14="",$E55=""),"",AC55)</f>
        <v/>
      </c>
    </row>
    <row r="56" spans="1:30" x14ac:dyDescent="0.2">
      <c r="A56" s="27"/>
      <c r="C56"/>
      <c r="AC56" s="29" t="str">
        <f>IF(OR(AC$14="",$E56=""),"",AB56)</f>
        <v/>
      </c>
      <c r="AD56" s="29" t="str">
        <f>IF(OR(AD$14="",$E56=""),"",AC56)</f>
        <v/>
      </c>
    </row>
    <row r="57" spans="1:30" x14ac:dyDescent="0.2">
      <c r="A57" s="27"/>
      <c r="C57"/>
      <c r="AC57" s="29" t="str">
        <f>IF(OR(AC$14="",$E57=""),"",AB57)</f>
        <v/>
      </c>
      <c r="AD57" s="29" t="str">
        <f>IF(OR(AD$14="",$E57=""),"",AC57)</f>
        <v/>
      </c>
    </row>
    <row r="58" spans="1:30" x14ac:dyDescent="0.2">
      <c r="A58" s="27"/>
      <c r="C58"/>
    </row>
    <row r="59" spans="1:30" x14ac:dyDescent="0.2">
      <c r="A59" s="27"/>
      <c r="C59"/>
      <c r="AC59" s="29" t="str">
        <f>IF(OR(AC$14="",$E59=""),"",AB59)</f>
        <v/>
      </c>
      <c r="AD59" s="29" t="str">
        <f>IF(OR(AD$14="",$E59=""),"",AC59)</f>
        <v/>
      </c>
    </row>
    <row r="60" spans="1:30" x14ac:dyDescent="0.2">
      <c r="A60" s="27"/>
      <c r="C60"/>
      <c r="AC60" s="29" t="str">
        <f>IF(OR(AC$14="",$E60=""),"",AB60)</f>
        <v/>
      </c>
      <c r="AD60" s="29" t="str">
        <f>IF(OR(AD$14="",$E60=""),"",AC60)</f>
        <v/>
      </c>
    </row>
    <row r="61" spans="1:30" x14ac:dyDescent="0.2">
      <c r="A61" s="27"/>
      <c r="C61"/>
      <c r="AC61" s="29" t="str">
        <f>IF(OR(AC$14="",$E61=""),"",AB61)</f>
        <v/>
      </c>
      <c r="AD61" s="29" t="str">
        <f>IF(OR(AD$14="",$E61=""),"",AC61)</f>
        <v/>
      </c>
    </row>
    <row r="62" spans="1:30" x14ac:dyDescent="0.2">
      <c r="A62" s="27"/>
      <c r="C62"/>
      <c r="AC62" s="29" t="str">
        <f>IF(OR(AC$14="",$E62=""),"",AB62)</f>
        <v/>
      </c>
      <c r="AD62" s="29" t="str">
        <f>IF(OR(AD$14="",$E62=""),"",AC62)</f>
        <v/>
      </c>
    </row>
    <row r="63" spans="1:30" x14ac:dyDescent="0.2">
      <c r="A63" s="27"/>
      <c r="C63"/>
      <c r="AC63" s="29" t="str">
        <f>IF(OR(AC$14="",$E63=""),"",AB63)</f>
        <v/>
      </c>
      <c r="AD63" s="29" t="str">
        <f>IF(OR(AD$14="",$E63=""),"",AC63)</f>
        <v/>
      </c>
    </row>
    <row r="64" spans="1:30" x14ac:dyDescent="0.2">
      <c r="C64"/>
      <c r="D64" s="30" t="str">
        <f t="shared" ref="D41:D64" si="4">IF(A64&lt;&gt;"","Planned","")</f>
        <v/>
      </c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</sheetData>
  <sortState xmlns:xlrd2="http://schemas.microsoft.com/office/spreadsheetml/2017/richdata2" ref="A15:AD63">
    <sortCondition ref="B14"/>
    <sortCondition ref="D14"/>
  </sortState>
  <phoneticPr fontId="2" type="noConversion"/>
  <conditionalFormatting sqref="A15:AD5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95250</xdr:rowOff>
                  </from>
                  <to>
                    <xdr:col>0</xdr:col>
                    <xdr:colOff>2305050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2571750</xdr:colOff>
                    <xdr:row>5</xdr:row>
                    <xdr:rowOff>95250</xdr:rowOff>
                  </from>
                  <to>
                    <xdr:col>2</xdr:col>
                    <xdr:colOff>342900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6"/>
  <sheetViews>
    <sheetView zoomScale="145" zoomScaleNormal="145" workbookViewId="0"/>
  </sheetViews>
  <sheetFormatPr baseColWidth="10" defaultColWidth="9.140625" defaultRowHeight="12.75" x14ac:dyDescent="0.2"/>
  <cols>
    <col min="1" max="3" width="9.140625" style="30"/>
    <col min="4" max="4" width="32.7109375" style="30" customWidth="1"/>
    <col min="5" max="5" width="9.140625" style="30"/>
    <col min="6" max="6" width="32.7109375" style="30" customWidth="1"/>
    <col min="7" max="16384" width="9.140625" style="30"/>
  </cols>
  <sheetData>
    <row r="1" spans="1:6" x14ac:dyDescent="0.2">
      <c r="A1" s="76" t="s">
        <v>85</v>
      </c>
      <c r="B1" s="92">
        <v>4.0999999999999996</v>
      </c>
      <c r="C1" s="77" t="s">
        <v>86</v>
      </c>
      <c r="D1" s="78" t="s">
        <v>143</v>
      </c>
      <c r="E1" s="78"/>
      <c r="F1" s="79"/>
    </row>
    <row r="2" spans="1:6" x14ac:dyDescent="0.2">
      <c r="A2" s="80" t="s">
        <v>87</v>
      </c>
      <c r="B2" s="74" t="s">
        <v>148</v>
      </c>
      <c r="C2" s="74"/>
      <c r="D2" s="74"/>
      <c r="E2" s="74"/>
      <c r="F2" s="81"/>
    </row>
    <row r="3" spans="1:6" x14ac:dyDescent="0.2">
      <c r="A3" s="82"/>
      <c r="B3" s="144"/>
      <c r="C3" s="144"/>
      <c r="D3" s="144"/>
      <c r="E3" s="144"/>
      <c r="F3" s="83"/>
    </row>
    <row r="4" spans="1:6" x14ac:dyDescent="0.2">
      <c r="A4" s="84"/>
      <c r="B4" s="75"/>
      <c r="C4" s="75"/>
      <c r="D4" s="75"/>
      <c r="E4" s="75"/>
      <c r="F4" s="85"/>
    </row>
    <row r="5" spans="1:6" x14ac:dyDescent="0.2">
      <c r="A5" s="90" t="str">
        <f>CONCATENATE("Responsible Person: ",'Sp1'!C15)</f>
        <v>Responsible Person: 2</v>
      </c>
      <c r="B5" s="73"/>
      <c r="C5" s="73"/>
      <c r="D5" s="73"/>
      <c r="E5" s="73"/>
      <c r="F5" s="91"/>
    </row>
    <row r="6" spans="1:6" ht="26.25" thickBot="1" x14ac:dyDescent="0.25">
      <c r="A6" s="86" t="s">
        <v>84</v>
      </c>
      <c r="B6" s="93">
        <v>2</v>
      </c>
      <c r="C6" s="88" t="s">
        <v>89</v>
      </c>
      <c r="D6" s="87"/>
      <c r="E6" s="88" t="s">
        <v>88</v>
      </c>
      <c r="F6" s="89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4"/>
  <sheetViews>
    <sheetView workbookViewId="0">
      <selection activeCell="F23" sqref="F23"/>
    </sheetView>
  </sheetViews>
  <sheetFormatPr baseColWidth="10" defaultColWidth="11.5703125" defaultRowHeight="12.75" x14ac:dyDescent="0.2"/>
  <cols>
    <col min="3" max="3" width="44.42578125" customWidth="1"/>
    <col min="6" max="6" width="40.42578125" customWidth="1"/>
  </cols>
  <sheetData>
    <row r="1" spans="1:6" ht="13.9" customHeight="1" x14ac:dyDescent="0.2">
      <c r="A1" s="138" t="s">
        <v>90</v>
      </c>
      <c r="B1" s="139"/>
      <c r="C1" s="140"/>
      <c r="D1" s="141" t="s">
        <v>91</v>
      </c>
      <c r="E1" s="142"/>
      <c r="F1" s="143"/>
    </row>
    <row r="2" spans="1:6" ht="16.5" x14ac:dyDescent="0.2">
      <c r="A2" s="134"/>
      <c r="B2" s="135"/>
      <c r="C2" s="136"/>
      <c r="D2" s="134"/>
      <c r="E2" s="135"/>
      <c r="F2" s="137"/>
    </row>
    <row r="3" spans="1:6" ht="16.5" x14ac:dyDescent="0.2">
      <c r="A3" s="120"/>
      <c r="B3" s="121"/>
      <c r="C3" s="124"/>
      <c r="D3" s="120"/>
      <c r="E3" s="121"/>
      <c r="F3" s="125"/>
    </row>
    <row r="4" spans="1:6" ht="16.5" x14ac:dyDescent="0.2">
      <c r="A4" s="120"/>
      <c r="B4" s="121"/>
      <c r="C4" s="124"/>
      <c r="D4" s="120"/>
      <c r="E4" s="121"/>
      <c r="F4" s="125"/>
    </row>
    <row r="5" spans="1:6" ht="16.5" x14ac:dyDescent="0.2">
      <c r="A5" s="120"/>
      <c r="B5" s="121"/>
      <c r="C5" s="124"/>
      <c r="D5" s="120"/>
      <c r="E5" s="121"/>
      <c r="F5" s="125"/>
    </row>
    <row r="6" spans="1:6" ht="16.5" x14ac:dyDescent="0.2">
      <c r="A6" s="120"/>
      <c r="B6" s="121"/>
      <c r="C6" s="95"/>
      <c r="D6" s="120"/>
      <c r="E6" s="121"/>
      <c r="F6" s="96"/>
    </row>
    <row r="7" spans="1:6" ht="15" customHeight="1" x14ac:dyDescent="0.2">
      <c r="A7" s="126"/>
      <c r="B7" s="127"/>
      <c r="C7" s="97"/>
      <c r="D7" s="126"/>
      <c r="E7" s="127"/>
      <c r="F7" s="98"/>
    </row>
    <row r="8" spans="1:6" ht="13.9" customHeight="1" x14ac:dyDescent="0.2">
      <c r="A8" s="128" t="s">
        <v>92</v>
      </c>
      <c r="B8" s="129"/>
      <c r="C8" s="130"/>
      <c r="D8" s="131" t="s">
        <v>93</v>
      </c>
      <c r="E8" s="132"/>
      <c r="F8" s="133"/>
    </row>
    <row r="9" spans="1:6" ht="16.5" x14ac:dyDescent="0.2">
      <c r="A9" s="134"/>
      <c r="B9" s="135"/>
      <c r="C9" s="136"/>
      <c r="D9" s="134"/>
      <c r="E9" s="135"/>
      <c r="F9" s="137"/>
    </row>
    <row r="10" spans="1:6" ht="16.5" x14ac:dyDescent="0.2">
      <c r="A10" s="120"/>
      <c r="B10" s="121"/>
      <c r="C10" s="124"/>
      <c r="D10" s="120"/>
      <c r="E10" s="121"/>
      <c r="F10" s="125"/>
    </row>
    <row r="11" spans="1:6" ht="16.5" x14ac:dyDescent="0.2">
      <c r="A11" s="120"/>
      <c r="B11" s="121"/>
      <c r="C11" s="124"/>
      <c r="D11" s="120"/>
      <c r="E11" s="121"/>
      <c r="F11" s="125"/>
    </row>
    <row r="12" spans="1:6" ht="16.5" x14ac:dyDescent="0.2">
      <c r="A12" s="120"/>
      <c r="B12" s="121"/>
      <c r="C12" s="124"/>
      <c r="D12" s="120"/>
      <c r="E12" s="121"/>
      <c r="F12" s="125"/>
    </row>
    <row r="13" spans="1:6" ht="16.5" x14ac:dyDescent="0.2">
      <c r="A13" s="120"/>
      <c r="B13" s="121"/>
      <c r="C13" s="95"/>
      <c r="D13" s="120"/>
      <c r="E13" s="121"/>
      <c r="F13" s="96"/>
    </row>
    <row r="14" spans="1:6" ht="17.25" thickBot="1" x14ac:dyDescent="0.25">
      <c r="A14" s="122"/>
      <c r="B14" s="123"/>
      <c r="C14" s="99"/>
      <c r="D14" s="122"/>
      <c r="E14" s="123"/>
      <c r="F14" s="100"/>
    </row>
  </sheetData>
  <mergeCells count="28">
    <mergeCell ref="A1:C1"/>
    <mergeCell ref="D1:F1"/>
    <mergeCell ref="A2:C2"/>
    <mergeCell ref="D2:F2"/>
    <mergeCell ref="A3:C3"/>
    <mergeCell ref="D3:F3"/>
    <mergeCell ref="A4:C4"/>
    <mergeCell ref="D4:F4"/>
    <mergeCell ref="A5:C5"/>
    <mergeCell ref="D5:F5"/>
    <mergeCell ref="A6:B6"/>
    <mergeCell ref="D6:E6"/>
    <mergeCell ref="A7:B7"/>
    <mergeCell ref="D7:E7"/>
    <mergeCell ref="A8:C8"/>
    <mergeCell ref="D8:F8"/>
    <mergeCell ref="A9:C9"/>
    <mergeCell ref="D9:F9"/>
    <mergeCell ref="A13:B13"/>
    <mergeCell ref="D13:E13"/>
    <mergeCell ref="A14:B14"/>
    <mergeCell ref="D14:E14"/>
    <mergeCell ref="A10:C10"/>
    <mergeCell ref="D10:F10"/>
    <mergeCell ref="A11:C11"/>
    <mergeCell ref="D11:F11"/>
    <mergeCell ref="A12:C12"/>
    <mergeCell ref="D12:F1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N16"/>
  <sheetViews>
    <sheetView workbookViewId="0">
      <selection activeCell="E37" sqref="E37"/>
    </sheetView>
  </sheetViews>
  <sheetFormatPr baseColWidth="10" defaultColWidth="11.5703125" defaultRowHeight="12.75" x14ac:dyDescent="0.2"/>
  <cols>
    <col min="7" max="7" width="14.7109375" customWidth="1"/>
  </cols>
  <sheetData>
    <row r="1" spans="1:14" ht="22.15" customHeight="1" x14ac:dyDescent="0.2">
      <c r="A1" s="1" t="s">
        <v>94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25.5" x14ac:dyDescent="0.2">
      <c r="A2" s="1"/>
      <c r="B2" s="101"/>
      <c r="C2" s="101"/>
      <c r="D2" s="101"/>
      <c r="E2" s="101"/>
      <c r="F2" s="101"/>
      <c r="H2" s="111" t="s">
        <v>113</v>
      </c>
    </row>
    <row r="3" spans="1:14" x14ac:dyDescent="0.2">
      <c r="A3" s="101"/>
      <c r="B3" s="101"/>
      <c r="C3" s="101"/>
      <c r="D3" s="101"/>
      <c r="E3" s="101"/>
      <c r="F3" s="101"/>
      <c r="G3" s="110" t="s">
        <v>112</v>
      </c>
      <c r="H3" s="102" t="s">
        <v>95</v>
      </c>
      <c r="I3" s="102" t="s">
        <v>96</v>
      </c>
      <c r="J3" s="102" t="s">
        <v>97</v>
      </c>
      <c r="K3" s="102" t="s">
        <v>98</v>
      </c>
      <c r="L3" s="102" t="s">
        <v>99</v>
      </c>
      <c r="M3" s="102" t="s">
        <v>100</v>
      </c>
      <c r="N3" s="109" t="s">
        <v>101</v>
      </c>
    </row>
    <row r="4" spans="1:14" x14ac:dyDescent="0.2">
      <c r="A4" s="103" t="s">
        <v>102</v>
      </c>
      <c r="B4" s="101"/>
      <c r="C4" s="101"/>
      <c r="D4" s="101"/>
      <c r="E4" s="101"/>
      <c r="F4" s="101"/>
      <c r="G4" s="102" t="s">
        <v>95</v>
      </c>
      <c r="H4" s="104"/>
      <c r="I4" s="105"/>
      <c r="J4" s="105"/>
      <c r="K4" s="105"/>
      <c r="L4" s="105"/>
      <c r="M4" s="105"/>
      <c r="N4" s="105"/>
    </row>
    <row r="5" spans="1:14" x14ac:dyDescent="0.2">
      <c r="A5" s="103" t="s">
        <v>103</v>
      </c>
      <c r="B5" s="101"/>
      <c r="C5" s="101"/>
      <c r="D5" s="101"/>
      <c r="E5" s="101"/>
      <c r="F5" s="101"/>
      <c r="G5" s="102" t="s">
        <v>96</v>
      </c>
      <c r="H5" s="105"/>
      <c r="I5" s="104"/>
      <c r="J5" s="105"/>
      <c r="K5" s="105"/>
      <c r="L5" s="105"/>
      <c r="M5" s="105"/>
      <c r="N5" s="105"/>
    </row>
    <row r="6" spans="1:14" x14ac:dyDescent="0.2">
      <c r="A6" s="103"/>
      <c r="B6" s="101"/>
      <c r="C6" s="101"/>
      <c r="D6" s="101"/>
      <c r="E6" s="101"/>
      <c r="F6" s="101"/>
      <c r="G6" s="102" t="s">
        <v>97</v>
      </c>
      <c r="H6" s="105"/>
      <c r="I6" s="105"/>
      <c r="J6" s="104"/>
      <c r="K6" s="105"/>
      <c r="L6" s="105"/>
      <c r="M6" s="105"/>
      <c r="N6" s="105"/>
    </row>
    <row r="7" spans="1:14" x14ac:dyDescent="0.2">
      <c r="A7" s="103"/>
      <c r="B7" s="101"/>
      <c r="C7" s="101"/>
      <c r="D7" s="101"/>
      <c r="E7" s="101"/>
      <c r="F7" s="101"/>
      <c r="G7" s="102" t="s">
        <v>98</v>
      </c>
      <c r="H7" s="105"/>
      <c r="I7" s="105"/>
      <c r="J7" s="105"/>
      <c r="K7" s="104"/>
      <c r="L7" s="105"/>
      <c r="M7" s="105"/>
      <c r="N7" s="105"/>
    </row>
    <row r="8" spans="1:14" x14ac:dyDescent="0.2">
      <c r="A8" s="103"/>
      <c r="B8" s="101"/>
      <c r="C8" s="101"/>
      <c r="D8" s="101"/>
      <c r="E8" s="101"/>
      <c r="F8" s="101"/>
      <c r="G8" s="102" t="s">
        <v>99</v>
      </c>
      <c r="H8" s="105"/>
      <c r="I8" s="105"/>
      <c r="J8" s="105"/>
      <c r="K8" s="105"/>
      <c r="L8" s="104"/>
      <c r="M8" s="105"/>
      <c r="N8" s="105"/>
    </row>
    <row r="9" spans="1:14" x14ac:dyDescent="0.2">
      <c r="A9" s="103"/>
      <c r="B9" s="101"/>
      <c r="C9" s="101"/>
      <c r="D9" s="101"/>
      <c r="E9" s="101"/>
      <c r="F9" s="101"/>
      <c r="G9" s="102" t="s">
        <v>100</v>
      </c>
      <c r="H9" s="105"/>
      <c r="I9" s="105"/>
      <c r="J9" s="105"/>
      <c r="K9" s="105"/>
      <c r="L9" s="105"/>
      <c r="M9" s="104"/>
      <c r="N9" s="105"/>
    </row>
    <row r="10" spans="1:14" x14ac:dyDescent="0.2">
      <c r="G10" s="106" t="s">
        <v>101</v>
      </c>
      <c r="H10" s="107"/>
      <c r="I10" s="107"/>
      <c r="J10" s="107"/>
      <c r="K10" s="107"/>
      <c r="L10" s="107"/>
      <c r="M10" s="107"/>
      <c r="N10" s="104"/>
    </row>
    <row r="11" spans="1:14" x14ac:dyDescent="0.2">
      <c r="A11" s="103" t="s">
        <v>104</v>
      </c>
    </row>
    <row r="12" spans="1:14" x14ac:dyDescent="0.2">
      <c r="A12" s="103" t="s">
        <v>105</v>
      </c>
      <c r="H12" s="103" t="s">
        <v>106</v>
      </c>
    </row>
    <row r="13" spans="1:14" x14ac:dyDescent="0.2">
      <c r="A13" s="103" t="s">
        <v>107</v>
      </c>
      <c r="H13" s="103" t="s">
        <v>108</v>
      </c>
    </row>
    <row r="14" spans="1:14" x14ac:dyDescent="0.2">
      <c r="A14" s="103" t="s">
        <v>109</v>
      </c>
    </row>
    <row r="15" spans="1:14" x14ac:dyDescent="0.2">
      <c r="A15" s="103" t="s">
        <v>110</v>
      </c>
      <c r="H15" s="108"/>
      <c r="I15" s="30"/>
    </row>
    <row r="16" spans="1:14" x14ac:dyDescent="0.2">
      <c r="A16" s="103" t="s">
        <v>111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8.7109375" defaultRowHeight="12.75" x14ac:dyDescent="0.2"/>
  <cols>
    <col min="1" max="1" width="38.42578125" customWidth="1"/>
    <col min="2" max="2" width="8.42578125" style="2" customWidth="1"/>
    <col min="3" max="3" width="13.7109375" customWidth="1"/>
    <col min="4" max="4" width="10.7109375" customWidth="1"/>
    <col min="5" max="5" width="6.42578125" style="2" customWidth="1"/>
    <col min="6" max="30" width="4.42578125" style="2" customWidth="1"/>
  </cols>
  <sheetData>
    <row r="1" spans="1:30" ht="18" x14ac:dyDescent="0.25">
      <c r="A1" s="26">
        <v>1</v>
      </c>
      <c r="B1" s="3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x14ac:dyDescent="0.2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9" spans="1:30" x14ac:dyDescent="0.2">
      <c r="A9" s="16" t="s">
        <v>12</v>
      </c>
      <c r="B9" s="2">
        <v>5</v>
      </c>
      <c r="C9" s="16"/>
      <c r="D9" s="14"/>
      <c r="E9" s="16" t="s">
        <v>9</v>
      </c>
      <c r="F9" s="16" t="s">
        <v>11</v>
      </c>
      <c r="G9" s="16"/>
      <c r="H9" s="16"/>
      <c r="I9" s="16"/>
      <c r="J9" s="16"/>
      <c r="K9" s="16"/>
      <c r="L9" s="1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</row>
    <row r="10" spans="1:30" x14ac:dyDescent="0.2">
      <c r="A10" s="16" t="s">
        <v>29</v>
      </c>
      <c r="B10" s="2">
        <v>5</v>
      </c>
      <c r="C10" s="16" t="s">
        <v>30</v>
      </c>
      <c r="D10" s="16" t="s">
        <v>17</v>
      </c>
      <c r="E10" s="15">
        <f ca="1">SUM(OFFSET(E14,1,0,TaskRows,1))</f>
        <v>0</v>
      </c>
      <c r="F10" s="15">
        <f ca="1">IF(AND(SUM(OFFSET(F14,1,0,TaskRows,1))=0),0,SUM(OFFSET(F14,1,0,TaskRows,1)))</f>
        <v>0</v>
      </c>
      <c r="G10" s="15" t="str">
        <f t="shared" ref="G10:AD10" ca="1" si="0">IF(AND(SUM(OFFSET(G14,1,0,TaskRows,1))=0),"",SUM(OFFSET(G14,1,0,TaskRows,1)))</f>
        <v/>
      </c>
      <c r="H10" s="15" t="str">
        <f t="shared" ca="1" si="0"/>
        <v/>
      </c>
      <c r="I10" s="15" t="str">
        <f t="shared" ca="1" si="0"/>
        <v/>
      </c>
      <c r="J10" s="15" t="str">
        <f t="shared" ca="1" si="0"/>
        <v/>
      </c>
      <c r="K10" s="15" t="str">
        <f t="shared" ca="1" si="0"/>
        <v/>
      </c>
      <c r="L10" s="15" t="str">
        <f t="shared" ca="1" si="0"/>
        <v/>
      </c>
      <c r="M10" s="15" t="str">
        <f t="shared" ca="1" si="0"/>
        <v/>
      </c>
      <c r="N10" s="15" t="str">
        <f t="shared" ca="1" si="0"/>
        <v/>
      </c>
      <c r="O10" s="15" t="str">
        <f t="shared" ca="1" si="0"/>
        <v/>
      </c>
      <c r="P10" s="15" t="str">
        <f t="shared" ca="1" si="0"/>
        <v/>
      </c>
      <c r="Q10" s="15" t="str">
        <f t="shared" ca="1" si="0"/>
        <v/>
      </c>
      <c r="R10" s="15" t="str">
        <f t="shared" ca="1" si="0"/>
        <v/>
      </c>
      <c r="S10" s="15" t="str">
        <f t="shared" ca="1" si="0"/>
        <v/>
      </c>
      <c r="T10" s="15" t="str">
        <f t="shared" ca="1" si="0"/>
        <v/>
      </c>
      <c r="U10" s="15" t="str">
        <f t="shared" ca="1" si="0"/>
        <v/>
      </c>
      <c r="V10" s="15" t="str">
        <f t="shared" ca="1" si="0"/>
        <v/>
      </c>
      <c r="W10" s="15" t="str">
        <f t="shared" ca="1" si="0"/>
        <v/>
      </c>
      <c r="X10" s="15" t="str">
        <f t="shared" ca="1" si="0"/>
        <v/>
      </c>
      <c r="Y10" s="15" t="str">
        <f t="shared" ca="1" si="0"/>
        <v/>
      </c>
      <c r="Z10" s="15" t="str">
        <f t="shared" ca="1" si="0"/>
        <v/>
      </c>
      <c r="AA10" s="15" t="str">
        <f t="shared" ca="1" si="0"/>
        <v/>
      </c>
      <c r="AB10" s="15" t="str">
        <f t="shared" ca="1" si="0"/>
        <v/>
      </c>
      <c r="AC10" s="15" t="str">
        <f t="shared" ca="1" si="0"/>
        <v/>
      </c>
      <c r="AD10" s="15" t="str">
        <f t="shared" ca="1" si="0"/>
        <v/>
      </c>
    </row>
    <row r="11" spans="1:30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0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0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6" t="s">
        <v>7</v>
      </c>
      <c r="B14" s="17" t="s">
        <v>21</v>
      </c>
      <c r="C14" s="16" t="s">
        <v>8</v>
      </c>
      <c r="D14" s="16" t="s">
        <v>3</v>
      </c>
      <c r="E14" s="17" t="s">
        <v>10</v>
      </c>
      <c r="F14" s="17">
        <v>1</v>
      </c>
      <c r="G14" s="17">
        <f t="shared" ref="G14:AD14" si="3">IF($B$9&gt;F14,F14+1,"")</f>
        <v>2</v>
      </c>
      <c r="H14" s="17">
        <f t="shared" si="3"/>
        <v>3</v>
      </c>
      <c r="I14" s="17">
        <f t="shared" si="3"/>
        <v>4</v>
      </c>
      <c r="J14" s="17">
        <f t="shared" si="3"/>
        <v>5</v>
      </c>
      <c r="K14" s="17" t="str">
        <f t="shared" si="3"/>
        <v/>
      </c>
      <c r="L14" s="17" t="str">
        <f t="shared" si="3"/>
        <v/>
      </c>
      <c r="M14" s="17" t="str">
        <f t="shared" si="3"/>
        <v/>
      </c>
      <c r="N14" s="17" t="str">
        <f t="shared" si="3"/>
        <v/>
      </c>
      <c r="O14" s="17" t="str">
        <f t="shared" si="3"/>
        <v/>
      </c>
      <c r="P14" s="17" t="str">
        <f t="shared" si="3"/>
        <v/>
      </c>
      <c r="Q14" s="17" t="str">
        <f t="shared" si="3"/>
        <v/>
      </c>
      <c r="R14" s="17" t="str">
        <f t="shared" si="3"/>
        <v/>
      </c>
      <c r="S14" s="17" t="str">
        <f t="shared" si="3"/>
        <v/>
      </c>
      <c r="T14" s="17" t="str">
        <f t="shared" si="3"/>
        <v/>
      </c>
      <c r="U14" s="17" t="str">
        <f t="shared" si="3"/>
        <v/>
      </c>
      <c r="V14" s="17" t="str">
        <f t="shared" si="3"/>
        <v/>
      </c>
      <c r="W14" s="17" t="str">
        <f t="shared" si="3"/>
        <v/>
      </c>
      <c r="X14" s="17" t="str">
        <f t="shared" si="3"/>
        <v/>
      </c>
      <c r="Y14" s="17" t="str">
        <f t="shared" si="3"/>
        <v/>
      </c>
      <c r="Z14" s="17" t="str">
        <f t="shared" si="3"/>
        <v/>
      </c>
      <c r="AA14" s="17" t="str">
        <f t="shared" si="3"/>
        <v/>
      </c>
      <c r="AB14" s="17" t="str">
        <f t="shared" si="3"/>
        <v/>
      </c>
      <c r="AC14" s="17" t="str">
        <f t="shared" si="3"/>
        <v/>
      </c>
      <c r="AD14" s="17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sortState xmlns:xlrd2="http://schemas.microsoft.com/office/spreadsheetml/2017/richdata2"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95250</xdr:rowOff>
                  </from>
                  <to>
                    <xdr:col>0</xdr:col>
                    <xdr:colOff>1962150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2286000</xdr:colOff>
                    <xdr:row>5</xdr:row>
                    <xdr:rowOff>95250</xdr:rowOff>
                  </from>
                  <to>
                    <xdr:col>2</xdr:col>
                    <xdr:colOff>247650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25</vt:i4>
      </vt:variant>
    </vt:vector>
  </HeadingPairs>
  <TitlesOfParts>
    <vt:vector size="33" baseType="lpstr">
      <vt:lpstr>Release Plan</vt:lpstr>
      <vt:lpstr>Product Backlog</vt:lpstr>
      <vt:lpstr>PB Burndown</vt:lpstr>
      <vt:lpstr>Sp1</vt:lpstr>
      <vt:lpstr>Task Slips</vt:lpstr>
      <vt:lpstr>Sprint Retrospective</vt:lpstr>
      <vt:lpstr>Self-Evaluation</vt:lpstr>
      <vt:lpstr>Sprint Sheet Template</vt:lpstr>
      <vt:lpstr>'Product Backlog'!Área_de_impresión</vt:lpstr>
      <vt:lpstr>'Sp1'!DoneDays</vt:lpstr>
      <vt:lpstr>'Sprint Sheet Template'!DoneDays</vt:lpstr>
      <vt:lpstr>'Sp1'!ImplementationDays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SprintTasks</vt:lpstr>
      <vt:lpstr>Status</vt:lpstr>
      <vt:lpstr>StoryName</vt:lpstr>
      <vt:lpstr>'Sp1'!TaskRows</vt:lpstr>
      <vt:lpstr>'Sprint Sheet Template'!TaskRows</vt:lpstr>
      <vt:lpstr>'Sp1'!TaskStatus</vt:lpstr>
      <vt:lpstr>TaskStatus</vt:lpstr>
      <vt:lpstr>'Sp1'!TaskStoryID</vt:lpstr>
      <vt:lpstr>TaskStoryID</vt:lpstr>
      <vt:lpstr>'Sp1'!TotalEffort</vt:lpstr>
      <vt:lpstr>'Sprint Sheet Template'!TotalEffort</vt:lpstr>
      <vt:lpstr>'Sp1'!TrendDays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ROGER AÑOR GRASA</cp:lastModifiedBy>
  <cp:revision>1</cp:revision>
  <cp:lastPrinted>2006-09-01T14:59:00Z</cp:lastPrinted>
  <dcterms:created xsi:type="dcterms:W3CDTF">1998-06-05T11:20:44Z</dcterms:created>
  <dcterms:modified xsi:type="dcterms:W3CDTF">2025-11-16T15:59:45Z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